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5F481877-7F77-4454-B3DE-75BEE896378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" r:id="rId1"/>
    <sheet name="Healthcare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1" l="1"/>
  <c r="R11" i="1"/>
  <c r="Q10" i="1"/>
  <c r="P9" i="1"/>
</calcChain>
</file>

<file path=xl/sharedStrings.xml><?xml version="1.0" encoding="utf-8"?>
<sst xmlns="http://schemas.openxmlformats.org/spreadsheetml/2006/main" count="419" uniqueCount="101">
  <si>
    <t>Patient_ID</t>
  </si>
  <si>
    <t>Age</t>
  </si>
  <si>
    <t>BMI</t>
  </si>
  <si>
    <t>Blood_Pressure</t>
  </si>
  <si>
    <t>Cholesterol</t>
  </si>
  <si>
    <t>Treatment_Group</t>
  </si>
  <si>
    <t>Recovery_Score</t>
  </si>
  <si>
    <t>C</t>
  </si>
  <si>
    <t>A</t>
  </si>
  <si>
    <t>B</t>
  </si>
  <si>
    <t>SS</t>
  </si>
  <si>
    <t>df</t>
  </si>
  <si>
    <t>MS</t>
  </si>
  <si>
    <t>F</t>
  </si>
  <si>
    <t>P-value</t>
  </si>
  <si>
    <t>Between Groups</t>
  </si>
  <si>
    <t>Within Groups</t>
  </si>
  <si>
    <t>Column 1</t>
  </si>
  <si>
    <t>Column 2</t>
  </si>
  <si>
    <t>Column 3</t>
  </si>
  <si>
    <t>Column 4</t>
  </si>
  <si>
    <t>Co-Variance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</si>
  <si>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</si>
  <si>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</si>
  <si>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</si>
  <si>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</si>
  <si>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</si>
  <si>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</si>
  <si>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</si>
  <si>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</si>
  <si>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</si>
  <si>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F crit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</si>
  <si>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</si>
  <si>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</si>
  <si>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</si>
  <si>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</si>
  <si>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</si>
  <si>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</si>
  <si>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</si>
  <si>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</si>
  <si>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</si>
  <si>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</si>
  <si>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</si>
  <si>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</si>
  <si>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</si>
  <si>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</si>
  <si>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</si>
  <si>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</si>
  <si>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</si>
  <si>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</si>
  <si>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</si>
  <si>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</si>
  <si>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</si>
  <si>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</si>
  <si>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</si>
  <si>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</si>
  <si>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</si>
  <si>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</si>
  <si>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Rows</t>
  </si>
  <si>
    <t>Error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</si>
  <si>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</si>
  <si>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</si>
  <si>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</si>
  <si>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</si>
  <si>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</si>
  <si>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</si>
  <si>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</si>
  <si>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</si>
  <si>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</si>
  <si>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</si>
  <si>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</si>
  <si>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</si>
  <si>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</si>
  <si>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</si>
  <si>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</si>
  <si>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</si>
  <si>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</si>
  <si>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</si>
  <si>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</si>
  <si>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</si>
  <si>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</si>
  <si>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</si>
  <si>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</si>
  <si>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</si>
  <si>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</si>
  <si>
    <t xml:space="preserve">  REGRESSION ANALYSIS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</si>
  <si>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</si>
  <si>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</si>
  <si>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</si>
  <si>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</si>
  <si>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</si>
  <si>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</si>
  <si>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</si>
  <si>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</si>
  <si>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</si>
  <si>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</si>
  <si>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</si>
  <si>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Largest(1)</t>
  </si>
  <si>
    <t>Smallest(1)</t>
  </si>
  <si>
    <t>Confidence Level(95.0%)</t>
  </si>
  <si>
    <t>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</si>
</sst>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8"/>
      <color theme="2"/>
      <name val="Algerian"/>
      <family val="5"/>
    </font>
    <font>
      <b/>
      <sz val="18"/>
      <color theme="1"/>
      <name val="Algerian"/>
      <family val="5"/>
    </font>
    <font>
      <sz val="11"/>
      <color theme="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lgerian"/>
      <family val="5"/>
    </font>
    <font>
      <sz val="12"/>
      <color theme="0"/>
      <name val="Algerian"/>
      <family val="5"/>
    </font>
    <font>
      <sz val="14"/>
      <color theme="0"/>
      <name val="Algerian"/>
      <family val="5"/>
    </font>
    <font>
      <b/>
      <sz val="12"/>
      <color theme="0"/>
      <name val="Algerian"/>
      <family val="5"/>
    </font>
    <font>
      <sz val="22"/>
      <color theme="0"/>
      <name val="Algerian"/>
      <family val="5"/>
    </font>
    <font>
      <sz val="36"/>
      <color theme="0"/>
      <name val="Algerian"/>
      <family val="5"/>
    </font>
    <font>
      <i/>
      <sz val="14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4" borderId="2" xfId="0" applyFill="1" applyBorder="1"/>
    <xf numFmtId="0" fontId="0" fillId="0" borderId="2" xfId="0" applyBorder="1"/>
    <xf numFmtId="0" fontId="3" fillId="7" borderId="2" xfId="0" applyFont="1" applyFill="1" applyBorder="1" applyAlignment="1">
      <alignment horizontal="center"/>
    </xf>
    <xf numFmtId="0" fontId="0" fillId="7" borderId="2" xfId="0" applyFill="1" applyBorder="1"/>
    <xf numFmtId="0" fontId="3" fillId="6" borderId="2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0" fillId="9" borderId="2" xfId="0" applyFill="1" applyBorder="1"/>
    <xf numFmtId="0" fontId="7" fillId="9" borderId="2" xfId="0" applyFont="1" applyFill="1" applyBorder="1" applyAlignment="1">
      <alignment horizontal="right"/>
    </xf>
    <xf numFmtId="0" fontId="0" fillId="10" borderId="2" xfId="0" applyFill="1" applyBorder="1"/>
    <xf numFmtId="0" fontId="7" fillId="10" borderId="2" xfId="0" applyFont="1" applyFill="1" applyBorder="1" applyAlignment="1">
      <alignment horizontal="right"/>
    </xf>
    <xf numFmtId="0" fontId="3" fillId="9" borderId="2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2" xfId="0" applyFill="1" applyBorder="1"/>
    <xf numFmtId="0" fontId="11" fillId="11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11" xfId="0" applyFill="1" applyBorder="1" applyAlignment="1"/>
    <xf numFmtId="0" fontId="3" fillId="0" borderId="12" xfId="0" applyFont="1" applyFill="1" applyBorder="1" applyAlignment="1">
      <alignment horizontal="centerContinuous"/>
    </xf>
    <xf numFmtId="0" fontId="3" fillId="14" borderId="5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center"/>
    </xf>
    <xf numFmtId="0" fontId="0" fillId="15" borderId="2" xfId="0" applyFill="1" applyBorder="1" applyAlignment="1"/>
    <xf numFmtId="0" fontId="13" fillId="14" borderId="4" xfId="0" applyFont="1" applyFill="1" applyBorder="1" applyAlignment="1">
      <alignment horizontal="center"/>
    </xf>
    <xf numFmtId="0" fontId="13" fillId="14" borderId="1" xfId="0" applyFont="1" applyFill="1" applyBorder="1" applyAlignment="1">
      <alignment horizontal="center"/>
    </xf>
    <xf numFmtId="0" fontId="13" fillId="14" borderId="5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13" fillId="14" borderId="7" xfId="0" applyFont="1" applyFill="1" applyBorder="1" applyAlignment="1">
      <alignment horizontal="center"/>
    </xf>
    <xf numFmtId="0" fontId="13" fillId="14" borderId="8" xfId="0" applyFont="1" applyFill="1" applyBorder="1" applyAlignment="1">
      <alignment horizontal="center"/>
    </xf>
    <xf numFmtId="0" fontId="13" fillId="14" borderId="9" xfId="0" applyFont="1" applyFill="1" applyBorder="1" applyAlignment="1">
      <alignment horizontal="center"/>
    </xf>
    <xf numFmtId="0" fontId="13" fillId="14" borderId="3" xfId="0" applyFont="1" applyFill="1" applyBorder="1" applyAlignment="1">
      <alignment horizontal="center"/>
    </xf>
    <xf numFmtId="0" fontId="13" fillId="14" borderId="10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13" fillId="14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0" fillId="17" borderId="0" xfId="0" applyFill="1"/>
    <xf numFmtId="0" fontId="19" fillId="17" borderId="0" xfId="0" applyFont="1" applyFill="1" applyAlignment="1">
      <alignment horizontal="center"/>
    </xf>
    <xf numFmtId="0" fontId="20" fillId="18" borderId="8" xfId="0" applyFont="1" applyFill="1" applyBorder="1" applyAlignment="1">
      <alignment horizontal="center"/>
    </xf>
    <xf numFmtId="0" fontId="20" fillId="18" borderId="9" xfId="0" applyFont="1" applyFill="1" applyBorder="1" applyAlignment="1">
      <alignment horizontal="center"/>
    </xf>
    <xf numFmtId="0" fontId="20" fillId="18" borderId="10" xfId="0" applyFont="1" applyFill="1" applyBorder="1" applyAlignment="1">
      <alignment horizontal="center"/>
    </xf>
    <xf numFmtId="0" fontId="16" fillId="18" borderId="6" xfId="0" applyFont="1" applyFill="1" applyBorder="1" applyAlignment="1">
      <alignment horizontal="center"/>
    </xf>
    <xf numFmtId="0" fontId="0" fillId="19" borderId="2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1" borderId="0" xfId="0" applyFill="1" applyBorder="1" applyAlignment="1">
      <alignment horizontal="left"/>
    </xf>
    <xf numFmtId="0" fontId="3" fillId="21" borderId="0" xfId="0" applyFont="1" applyFill="1" applyBorder="1" applyAlignment="1">
      <alignment horizontal="left"/>
    </xf>
    <xf numFmtId="0" fontId="15" fillId="21" borderId="2" xfId="0" applyFont="1" applyFill="1" applyBorder="1" applyAlignment="1">
      <alignment horizontal="center"/>
    </xf>
    <xf numFmtId="0" fontId="14" fillId="21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Healthcare_Data!$AP$30:$AP$48</c:f>
              <c:numCache>
                <c:formatCode>General</c:formatCode>
                <c:ptCount val="19"/>
                <c:pt idx="0">
                  <c:v>2.6315789473684212</c:v>
                </c:pt>
                <c:pt idx="1">
                  <c:v>7.8947368421052637</c:v>
                </c:pt>
                <c:pt idx="2">
                  <c:v>13.157894736842106</c:v>
                </c:pt>
                <c:pt idx="3">
                  <c:v>18.421052631578949</c:v>
                </c:pt>
                <c:pt idx="4">
                  <c:v>23.684210526315791</c:v>
                </c:pt>
                <c:pt idx="5">
                  <c:v>28.947368421052634</c:v>
                </c:pt>
                <c:pt idx="6">
                  <c:v>34.21052631578948</c:v>
                </c:pt>
                <c:pt idx="7">
                  <c:v>39.473684210526315</c:v>
                </c:pt>
                <c:pt idx="8">
                  <c:v>44.736842105263165</c:v>
                </c:pt>
                <c:pt idx="9">
                  <c:v>50</c:v>
                </c:pt>
                <c:pt idx="10">
                  <c:v>55.26315789473685</c:v>
                </c:pt>
                <c:pt idx="11">
                  <c:v>60.526315789473685</c:v>
                </c:pt>
                <c:pt idx="12">
                  <c:v>65.789473684210535</c:v>
                </c:pt>
                <c:pt idx="13">
                  <c:v>71.052631578947384</c:v>
                </c:pt>
                <c:pt idx="14">
                  <c:v>76.31578947368422</c:v>
                </c:pt>
                <c:pt idx="15">
                  <c:v>81.578947368421055</c:v>
                </c:pt>
                <c:pt idx="16">
                  <c:v>86.842105263157904</c:v>
                </c:pt>
                <c:pt idx="17">
                  <c:v>92.105263157894754</c:v>
                </c:pt>
                <c:pt idx="18">
                  <c:v>97.368421052631589</c:v>
                </c:pt>
              </c:numCache>
            </c:numRef>
          </c:xVal>
          <c:yVal>
            <c:numRef>
              <c:f>Healthcare_Data!$AQ$30:$AQ$48</c:f>
              <c:numCache>
                <c:formatCode>General</c:formatCode>
                <c:ptCount val="19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DC-4DAA-87B1-EE75B8FEC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457327"/>
        <c:axId val="1340447727"/>
      </c:scatterChart>
      <c:valAx>
        <c:axId val="1340457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0447727"/>
        <c:crosses val="autoZero"/>
        <c:crossBetween val="midCat"/>
      </c:valAx>
      <c:valAx>
        <c:axId val="13404477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045732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Healthcare_Data!$C$2:$C$20</c:f>
              <c:numCache>
                <c:formatCode>General</c:formatCode>
                <c:ptCount val="1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</c:numCache>
            </c:numRef>
          </c:xVal>
          <c:yVal>
            <c:numRef>
              <c:f>Healthcare_Data!$G$2:$G$20</c:f>
              <c:numCache>
                <c:formatCode>General</c:formatCode>
                <c:ptCount val="19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F7-4024-9818-47A418C01E4D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Healthcare_Data!$C$2:$C$20</c:f>
              <c:numCache>
                <c:formatCode>General</c:formatCode>
                <c:ptCount val="1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</c:numCache>
            </c:numRef>
          </c:xVal>
          <c:yVal>
            <c:numRef>
              <c:f>Healthcare_Data!$AL$30:$AL$48</c:f>
              <c:numCache>
                <c:formatCode>General</c:formatCode>
                <c:ptCount val="19"/>
                <c:pt idx="0">
                  <c:v>61.197560975609761</c:v>
                </c:pt>
                <c:pt idx="1">
                  <c:v>61.151219512195127</c:v>
                </c:pt>
                <c:pt idx="2">
                  <c:v>61.104878048780492</c:v>
                </c:pt>
                <c:pt idx="3">
                  <c:v>61.058536585365857</c:v>
                </c:pt>
                <c:pt idx="4">
                  <c:v>61.012195121951223</c:v>
                </c:pt>
                <c:pt idx="5">
                  <c:v>60.965853658536588</c:v>
                </c:pt>
                <c:pt idx="6">
                  <c:v>60.919512195121953</c:v>
                </c:pt>
                <c:pt idx="7">
                  <c:v>60.873170731707319</c:v>
                </c:pt>
                <c:pt idx="8">
                  <c:v>60.826829268292684</c:v>
                </c:pt>
                <c:pt idx="9">
                  <c:v>60.780487804878049</c:v>
                </c:pt>
                <c:pt idx="10">
                  <c:v>60.734146341463415</c:v>
                </c:pt>
                <c:pt idx="11">
                  <c:v>60.68780487804878</c:v>
                </c:pt>
                <c:pt idx="12">
                  <c:v>60.641463414634146</c:v>
                </c:pt>
                <c:pt idx="13">
                  <c:v>61.290243902439023</c:v>
                </c:pt>
                <c:pt idx="14">
                  <c:v>61.243902439024389</c:v>
                </c:pt>
                <c:pt idx="15">
                  <c:v>61.197560975609761</c:v>
                </c:pt>
                <c:pt idx="16">
                  <c:v>61.151219512195127</c:v>
                </c:pt>
                <c:pt idx="17">
                  <c:v>61.104878048780492</c:v>
                </c:pt>
                <c:pt idx="18">
                  <c:v>61.058536585365857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F7-4024-9818-47A418C01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449167"/>
        <c:axId val="1340455887"/>
      </c:scatterChart>
      <c:valAx>
        <c:axId val="1340449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0455887"/>
        <c:crosses val="autoZero"/>
        <c:crossBetween val="midCat"/>
      </c:valAx>
      <c:valAx>
        <c:axId val="13404558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04491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Healthcare_Data!$C$2:$C$20</c:f>
              <c:numCache>
                <c:formatCode>General</c:formatCode>
                <c:ptCount val="1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</c:numCache>
            </c:numRef>
          </c:xVal>
          <c:yVal>
            <c:numRef>
              <c:f>Healthcare_Data!$AM$30:$AM$48</c:f>
              <c:numCache>
                <c:formatCode>General</c:formatCode>
                <c:ptCount val="19"/>
                <c:pt idx="0">
                  <c:v>-9.1975609756097612</c:v>
                </c:pt>
                <c:pt idx="1">
                  <c:v>-8.1512195121951265</c:v>
                </c:pt>
                <c:pt idx="2">
                  <c:v>-7.1048780487804919</c:v>
                </c:pt>
                <c:pt idx="3">
                  <c:v>-6.0585365853658573</c:v>
                </c:pt>
                <c:pt idx="4">
                  <c:v>-5.0121951219512226</c:v>
                </c:pt>
                <c:pt idx="5">
                  <c:v>-3.965853658536588</c:v>
                </c:pt>
                <c:pt idx="6">
                  <c:v>-2.9195121951219534</c:v>
                </c:pt>
                <c:pt idx="7">
                  <c:v>-1.8731707317073187</c:v>
                </c:pt>
                <c:pt idx="8">
                  <c:v>-0.82682926829268411</c:v>
                </c:pt>
                <c:pt idx="9">
                  <c:v>0.21951219512195053</c:v>
                </c:pt>
                <c:pt idx="10">
                  <c:v>1.2658536585365852</c:v>
                </c:pt>
                <c:pt idx="11">
                  <c:v>2.3121951219512198</c:v>
                </c:pt>
                <c:pt idx="12">
                  <c:v>3.3585365853658544</c:v>
                </c:pt>
                <c:pt idx="13">
                  <c:v>3.7097560975609767</c:v>
                </c:pt>
                <c:pt idx="14">
                  <c:v>4.7560975609756113</c:v>
                </c:pt>
                <c:pt idx="15">
                  <c:v>5.8024390243902388</c:v>
                </c:pt>
                <c:pt idx="16">
                  <c:v>6.8487804878048735</c:v>
                </c:pt>
                <c:pt idx="17">
                  <c:v>7.8951219512195081</c:v>
                </c:pt>
                <c:pt idx="18">
                  <c:v>8.9414634146341427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4-4E7F-A68A-EB4CD9309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446767"/>
        <c:axId val="1340448207"/>
      </c:scatterChart>
      <c:valAx>
        <c:axId val="1340446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0448207"/>
        <c:crosses val="autoZero"/>
        <c:crossBetween val="midCat"/>
      </c:valAx>
      <c:valAx>
        <c:axId val="13404482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04467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0</xdr:colOff>
      <xdr:row>9</xdr:row>
      <xdr:rowOff>0</xdr:rowOff>
    </xdr:from>
    <xdr:to>
      <xdr:col>52</xdr:col>
      <xdr:colOff>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FA7686-4A4B-439E-8F09-5AA659FD0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0</xdr:colOff>
      <xdr:row>21</xdr:row>
      <xdr:rowOff>0</xdr:rowOff>
    </xdr:from>
    <xdr:to>
      <xdr:col>52</xdr:col>
      <xdr:colOff>0</xdr:colOff>
      <xdr:row>31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4A3886-00F1-4AD7-BF17-4E4FC1404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0</xdr:colOff>
      <xdr:row>34</xdr:row>
      <xdr:rowOff>0</xdr:rowOff>
    </xdr:from>
    <xdr:to>
      <xdr:col>52</xdr:col>
      <xdr:colOff>0</xdr:colOff>
      <xdr:row>45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B5A84F-64B8-41B0-9482-73EF80851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6902-98FE-4C1C-8C15-B47B0346987B}">
  <dimension ref="A1:B18"/>
  <sheetViews>
    <sheetView workbookViewId="0">
      <selection sqref="A1:B18"/>
    </sheetView>
  </sheetViews>
  <sheetFormatPr defaultRowHeight="15" x14ac:dyDescent="0.25"/>
  <sheetData>
    <row r="1" spans="1:2" x14ac:dyDescent="0.25">
      <c r="A1" s="44" t="s">
        <v>86</v>
      </c>
      <c r="B1" s="44"/>
    </row>
    <row r="2" spans="1:2" x14ac:dyDescent="0.25">
      <c r="A2" s="42"/>
      <c r="B2" s="42"/>
    </row>
    <row r="3" spans="1:2" x14ac:dyDescent="0.25">
      <c r="A3" s="42" t="s">
        <v>87</v>
      </c>
      <c r="B3" s="42">
        <v>31</v>
      </c>
    </row>
    <row r="4" spans="1:2" x14ac:dyDescent="0.25">
      <c r="A4" s="42" t="s">
        <v>64</v>
      </c>
      <c r="B4" s="42">
        <v>1.2909944487358054</v>
      </c>
    </row>
    <row r="5" spans="1:2" x14ac:dyDescent="0.25">
      <c r="A5" s="42" t="s">
        <v>88</v>
      </c>
      <c r="B5" s="42">
        <v>31</v>
      </c>
    </row>
    <row r="6" spans="1:2" x14ac:dyDescent="0.25">
      <c r="A6" s="42" t="s">
        <v>89</v>
      </c>
      <c r="B6" s="42" t="e">
        <v>#N/A</v>
      </c>
    </row>
    <row r="7" spans="1:2" x14ac:dyDescent="0.25">
      <c r="A7" s="42" t="s">
        <v>90</v>
      </c>
      <c r="B7" s="42">
        <v>5.6273143387113773</v>
      </c>
    </row>
    <row r="8" spans="1:2" x14ac:dyDescent="0.25">
      <c r="A8" s="42" t="s">
        <v>91</v>
      </c>
      <c r="B8" s="42">
        <v>31.666666666666668</v>
      </c>
    </row>
    <row r="9" spans="1:2" x14ac:dyDescent="0.25">
      <c r="A9" s="42" t="s">
        <v>92</v>
      </c>
      <c r="B9" s="42">
        <v>-1.1999999999999993</v>
      </c>
    </row>
    <row r="10" spans="1:2" x14ac:dyDescent="0.25">
      <c r="A10" s="42" t="s">
        <v>93</v>
      </c>
      <c r="B10" s="42">
        <v>0</v>
      </c>
    </row>
    <row r="11" spans="1:2" x14ac:dyDescent="0.25">
      <c r="A11" s="42" t="s">
        <v>94</v>
      </c>
      <c r="B11" s="42">
        <v>18</v>
      </c>
    </row>
    <row r="12" spans="1:2" x14ac:dyDescent="0.25">
      <c r="A12" s="42" t="s">
        <v>95</v>
      </c>
      <c r="B12" s="42">
        <v>22</v>
      </c>
    </row>
    <row r="13" spans="1:2" x14ac:dyDescent="0.25">
      <c r="A13" s="42" t="s">
        <v>96</v>
      </c>
      <c r="B13" s="42">
        <v>40</v>
      </c>
    </row>
    <row r="14" spans="1:2" x14ac:dyDescent="0.25">
      <c r="A14" s="42" t="s">
        <v>26</v>
      </c>
      <c r="B14" s="42">
        <v>589</v>
      </c>
    </row>
    <row r="15" spans="1:2" x14ac:dyDescent="0.25">
      <c r="A15" s="42" t="s">
        <v>25</v>
      </c>
      <c r="B15" s="42">
        <v>19</v>
      </c>
    </row>
    <row r="16" spans="1:2" x14ac:dyDescent="0.25">
      <c r="A16" s="42" t="s">
        <v>97</v>
      </c>
      <c r="B16" s="42">
        <v>40</v>
      </c>
    </row>
    <row r="17" spans="1:2" x14ac:dyDescent="0.25">
      <c r="A17" s="42" t="s">
        <v>98</v>
      </c>
      <c r="B17" s="42">
        <v>22</v>
      </c>
    </row>
    <row r="18" spans="1:2" ht="15.75" thickBot="1" x14ac:dyDescent="0.3">
      <c r="A18" s="43" t="s">
        <v>99</v>
      </c>
      <c r="B18" s="43">
        <v>2.712278691177882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01"/>
  <sheetViews>
    <sheetView tabSelected="1" topLeftCell="J7" workbookViewId="0">
      <selection activeCell="J32" sqref="J32:L33"/>
    </sheetView>
  </sheetViews>
  <sheetFormatPr defaultRowHeight="15" x14ac:dyDescent="0.25"/>
  <cols>
    <col min="1" max="1" width="10.28515625" bestFit="1" customWidth="1"/>
    <col min="2" max="2" width="4.42578125" bestFit="1" customWidth="1"/>
    <col min="3" max="3" width="4.5703125" bestFit="1" customWidth="1"/>
    <col min="4" max="4" width="15" bestFit="1" customWidth="1"/>
    <col min="5" max="5" width="11.28515625" bestFit="1" customWidth="1"/>
    <col min="6" max="6" width="17" bestFit="1" customWidth="1"/>
    <col min="7" max="7" width="15.140625" bestFit="1" customWidth="1"/>
    <col min="10" max="10" width="29" bestFit="1" customWidth="1"/>
    <col min="11" max="11" width="12.7109375" bestFit="1" customWidth="1"/>
    <col min="12" max="12" width="12" bestFit="1" customWidth="1"/>
    <col min="14" max="14" width="33.28515625" bestFit="1" customWidth="1"/>
    <col min="15" max="15" width="12" bestFit="1" customWidth="1"/>
    <col min="16" max="17" width="9.7109375" bestFit="1" customWidth="1"/>
    <col min="18" max="20" width="12" bestFit="1" customWidth="1"/>
    <col min="21" max="21" width="19.140625" bestFit="1" customWidth="1"/>
    <col min="22" max="22" width="10" bestFit="1" customWidth="1"/>
    <col min="23" max="23" width="5.42578125" bestFit="1" customWidth="1"/>
    <col min="24" max="26" width="12" bestFit="1" customWidth="1"/>
    <col min="29" max="29" width="18.5703125" bestFit="1" customWidth="1"/>
    <col min="30" max="30" width="12" bestFit="1" customWidth="1"/>
    <col min="31" max="31" width="5.42578125" bestFit="1" customWidth="1"/>
    <col min="32" max="33" width="12" bestFit="1" customWidth="1"/>
    <col min="37" max="37" width="18" bestFit="1" customWidth="1"/>
    <col min="38" max="38" width="12.7109375" bestFit="1" customWidth="1"/>
    <col min="39" max="39" width="14.5703125" bestFit="1" customWidth="1"/>
    <col min="40" max="40" width="18.5703125" bestFit="1" customWidth="1"/>
    <col min="41" max="41" width="12" bestFit="1" customWidth="1"/>
    <col min="42" max="42" width="20.140625" bestFit="1" customWidth="1"/>
    <col min="43" max="43" width="12" bestFit="1" customWidth="1"/>
    <col min="44" max="44" width="12.7109375" bestFit="1" customWidth="1"/>
    <col min="45" max="45" width="12.5703125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53" x14ac:dyDescent="0.25">
      <c r="A2" s="2">
        <v>1</v>
      </c>
      <c r="B2" s="2">
        <v>22</v>
      </c>
      <c r="C2" s="2">
        <v>20</v>
      </c>
      <c r="D2" s="2">
        <v>102</v>
      </c>
      <c r="E2" s="2">
        <v>152</v>
      </c>
      <c r="F2" s="2" t="s">
        <v>7</v>
      </c>
      <c r="G2" s="2">
        <v>52</v>
      </c>
    </row>
    <row r="3" spans="1:53" x14ac:dyDescent="0.25">
      <c r="A3" s="2">
        <v>2</v>
      </c>
      <c r="B3" s="2">
        <v>23</v>
      </c>
      <c r="C3" s="2">
        <v>21</v>
      </c>
      <c r="D3" s="2">
        <v>103</v>
      </c>
      <c r="E3" s="2">
        <v>153</v>
      </c>
      <c r="F3" s="2" t="s">
        <v>8</v>
      </c>
      <c r="G3" s="2">
        <v>53</v>
      </c>
    </row>
    <row r="4" spans="1:53" x14ac:dyDescent="0.25">
      <c r="A4" s="2">
        <v>3</v>
      </c>
      <c r="B4" s="2">
        <v>24</v>
      </c>
      <c r="C4" s="2">
        <v>22</v>
      </c>
      <c r="D4" s="2">
        <v>104</v>
      </c>
      <c r="E4" s="2">
        <v>154</v>
      </c>
      <c r="F4" s="2" t="s">
        <v>9</v>
      </c>
      <c r="G4" s="2">
        <v>54</v>
      </c>
    </row>
    <row r="5" spans="1:53" x14ac:dyDescent="0.25">
      <c r="A5" s="2">
        <v>4</v>
      </c>
      <c r="B5" s="2">
        <v>25</v>
      </c>
      <c r="C5" s="2">
        <v>23</v>
      </c>
      <c r="D5" s="2">
        <v>105</v>
      </c>
      <c r="E5" s="2">
        <v>155</v>
      </c>
      <c r="F5" s="2" t="s">
        <v>7</v>
      </c>
      <c r="G5" s="2">
        <v>55</v>
      </c>
      <c r="AA5" s="5"/>
    </row>
    <row r="6" spans="1:53" ht="15" customHeight="1" x14ac:dyDescent="0.25">
      <c r="A6" s="2">
        <v>5</v>
      </c>
      <c r="B6" s="2">
        <v>26</v>
      </c>
      <c r="C6" s="2">
        <v>24</v>
      </c>
      <c r="D6" s="2">
        <v>106</v>
      </c>
      <c r="E6" s="2">
        <v>156</v>
      </c>
      <c r="F6" s="2" t="s">
        <v>8</v>
      </c>
      <c r="G6" s="2">
        <v>56</v>
      </c>
      <c r="AC6" s="18" t="s">
        <v>38</v>
      </c>
      <c r="AD6" s="19"/>
      <c r="AE6" s="19"/>
      <c r="AF6" s="19"/>
      <c r="AG6" s="19"/>
      <c r="AJ6" s="67"/>
      <c r="AK6" s="67"/>
      <c r="AL6" s="67"/>
      <c r="AM6" s="68" t="s">
        <v>85</v>
      </c>
      <c r="AN6" s="68"/>
      <c r="AO6" s="68"/>
      <c r="AP6" s="68"/>
      <c r="AQ6" s="68"/>
      <c r="AR6" s="68"/>
      <c r="AS6" s="68"/>
      <c r="AT6" s="68"/>
      <c r="AU6" s="68"/>
      <c r="AV6" s="67"/>
      <c r="AW6" s="67"/>
      <c r="AX6" s="67"/>
      <c r="AY6" s="67"/>
      <c r="AZ6" s="67"/>
      <c r="BA6" s="67"/>
    </row>
    <row r="7" spans="1:53" ht="28.5" customHeight="1" x14ac:dyDescent="0.45">
      <c r="A7" s="2">
        <v>6</v>
      </c>
      <c r="B7" s="2">
        <v>27</v>
      </c>
      <c r="C7" s="2">
        <v>25</v>
      </c>
      <c r="D7" s="2">
        <v>107</v>
      </c>
      <c r="E7" s="2">
        <v>157</v>
      </c>
      <c r="F7" s="2" t="s">
        <v>9</v>
      </c>
      <c r="G7" s="2">
        <v>57</v>
      </c>
      <c r="O7" s="20" t="s">
        <v>21</v>
      </c>
      <c r="P7" s="20"/>
      <c r="Q7" s="20"/>
      <c r="R7" s="20"/>
      <c r="S7" s="20"/>
      <c r="U7" s="24" t="s">
        <v>22</v>
      </c>
      <c r="V7" s="25"/>
      <c r="W7" s="25"/>
      <c r="X7" s="25"/>
      <c r="Y7" s="26"/>
      <c r="AC7" s="19"/>
      <c r="AD7" s="19"/>
      <c r="AE7" s="19"/>
      <c r="AF7" s="19"/>
      <c r="AG7" s="19"/>
      <c r="AJ7" s="67"/>
      <c r="AK7" s="67"/>
      <c r="AL7" s="67"/>
      <c r="AM7" s="68"/>
      <c r="AN7" s="68"/>
      <c r="AO7" s="68"/>
      <c r="AP7" s="68"/>
      <c r="AQ7" s="68"/>
      <c r="AR7" s="68"/>
      <c r="AS7" s="68"/>
      <c r="AT7" s="68"/>
      <c r="AU7" s="68"/>
      <c r="AV7" s="67"/>
      <c r="AW7" s="67"/>
      <c r="AX7" s="67"/>
      <c r="AY7" s="67"/>
      <c r="AZ7" s="67"/>
      <c r="BA7" s="67"/>
    </row>
    <row r="8" spans="1:53" x14ac:dyDescent="0.25">
      <c r="A8" s="2">
        <v>7</v>
      </c>
      <c r="B8" s="2">
        <v>28</v>
      </c>
      <c r="C8" s="2">
        <v>26</v>
      </c>
      <c r="D8" s="2">
        <v>108</v>
      </c>
      <c r="E8" s="2">
        <v>158</v>
      </c>
      <c r="F8" s="2" t="s">
        <v>7</v>
      </c>
      <c r="G8" s="2">
        <v>58</v>
      </c>
      <c r="O8" s="3"/>
      <c r="P8" s="3" t="s">
        <v>17</v>
      </c>
      <c r="Q8" s="3" t="s">
        <v>18</v>
      </c>
      <c r="R8" s="3" t="s">
        <v>19</v>
      </c>
      <c r="S8" s="3" t="s">
        <v>20</v>
      </c>
      <c r="U8" s="27"/>
      <c r="V8" s="28"/>
      <c r="W8" s="28"/>
      <c r="X8" s="28"/>
      <c r="Y8" s="29"/>
      <c r="AC8" s="15" t="s">
        <v>23</v>
      </c>
      <c r="AD8" s="15" t="s">
        <v>25</v>
      </c>
      <c r="AE8" s="15" t="s">
        <v>26</v>
      </c>
      <c r="AF8" s="15" t="s">
        <v>27</v>
      </c>
      <c r="AG8" s="15" t="s">
        <v>28</v>
      </c>
      <c r="AJ8" s="67"/>
      <c r="AK8" s="46" t="s">
        <v>60</v>
      </c>
      <c r="AL8" s="45"/>
      <c r="BA8" s="67"/>
    </row>
    <row r="9" spans="1:53" x14ac:dyDescent="0.25">
      <c r="A9" s="2">
        <v>8</v>
      </c>
      <c r="B9" s="2">
        <v>29</v>
      </c>
      <c r="C9" s="2">
        <v>27</v>
      </c>
      <c r="D9" s="2">
        <v>109</v>
      </c>
      <c r="E9" s="2">
        <v>159</v>
      </c>
      <c r="F9" s="2" t="s">
        <v>8</v>
      </c>
      <c r="G9" s="2">
        <v>59</v>
      </c>
      <c r="O9" s="4" t="s">
        <v>17</v>
      </c>
      <c r="P9" s="4">
        <f>VARP(Healthcare_Data!$B$2:$B$21)</f>
        <v>33.25</v>
      </c>
      <c r="Q9" s="4"/>
      <c r="R9" s="4"/>
      <c r="S9" s="4"/>
      <c r="U9" s="30" t="s">
        <v>23</v>
      </c>
      <c r="V9" s="31"/>
      <c r="W9" s="31"/>
      <c r="X9" s="31"/>
      <c r="Y9" s="32"/>
      <c r="AC9" s="16" t="s">
        <v>39</v>
      </c>
      <c r="AD9" s="16">
        <v>3</v>
      </c>
      <c r="AE9" s="16">
        <v>274</v>
      </c>
      <c r="AF9" s="16">
        <v>91.333333333333329</v>
      </c>
      <c r="AG9" s="16">
        <v>4441.3333333333339</v>
      </c>
      <c r="AJ9" s="67"/>
      <c r="AK9" s="47" t="s">
        <v>61</v>
      </c>
      <c r="AL9" s="47">
        <v>3.4921514788480164E-2</v>
      </c>
      <c r="BA9" s="67"/>
    </row>
    <row r="10" spans="1:53" x14ac:dyDescent="0.25">
      <c r="A10" s="2">
        <v>9</v>
      </c>
      <c r="B10" s="2">
        <v>30</v>
      </c>
      <c r="C10" s="2">
        <v>28</v>
      </c>
      <c r="D10" s="2">
        <v>110</v>
      </c>
      <c r="E10" s="2">
        <v>160</v>
      </c>
      <c r="F10" s="2" t="s">
        <v>9</v>
      </c>
      <c r="G10" s="2">
        <v>60</v>
      </c>
      <c r="O10" s="4" t="s">
        <v>18</v>
      </c>
      <c r="P10" s="4">
        <v>-0.875</v>
      </c>
      <c r="Q10" s="4">
        <f>VARP(Healthcare_Data!$C$2:$C$21)</f>
        <v>16.1875</v>
      </c>
      <c r="R10" s="4"/>
      <c r="S10" s="4"/>
      <c r="U10" s="6" t="s">
        <v>24</v>
      </c>
      <c r="V10" s="6" t="s">
        <v>25</v>
      </c>
      <c r="W10" s="6" t="s">
        <v>26</v>
      </c>
      <c r="X10" s="6" t="s">
        <v>27</v>
      </c>
      <c r="Y10" s="6" t="s">
        <v>28</v>
      </c>
      <c r="AC10" s="16" t="s">
        <v>40</v>
      </c>
      <c r="AD10" s="16">
        <v>3</v>
      </c>
      <c r="AE10" s="16">
        <v>277</v>
      </c>
      <c r="AF10" s="16">
        <v>92.333333333333329</v>
      </c>
      <c r="AG10" s="16">
        <v>4441.3333333333339</v>
      </c>
      <c r="AJ10" s="67"/>
      <c r="AK10" s="47" t="s">
        <v>62</v>
      </c>
      <c r="AL10" s="47">
        <v>1.2195121951220388E-3</v>
      </c>
      <c r="BA10" s="67"/>
    </row>
    <row r="11" spans="1:53" x14ac:dyDescent="0.25">
      <c r="A11" s="2">
        <v>10</v>
      </c>
      <c r="B11" s="2">
        <v>31</v>
      </c>
      <c r="C11" s="2">
        <v>29</v>
      </c>
      <c r="D11" s="2">
        <v>111</v>
      </c>
      <c r="E11" s="2">
        <v>161</v>
      </c>
      <c r="F11" s="2" t="s">
        <v>7</v>
      </c>
      <c r="G11" s="2">
        <v>61</v>
      </c>
      <c r="O11" s="4" t="s">
        <v>19</v>
      </c>
      <c r="P11" s="4">
        <v>33.25</v>
      </c>
      <c r="Q11" s="4">
        <v>-0.875</v>
      </c>
      <c r="R11" s="4">
        <f>VARP(Healthcare_Data!$D$2:$D$21)</f>
        <v>33.25</v>
      </c>
      <c r="S11" s="4"/>
      <c r="U11" s="7" t="s">
        <v>17</v>
      </c>
      <c r="V11" s="7">
        <v>20</v>
      </c>
      <c r="W11" s="7">
        <v>485</v>
      </c>
      <c r="X11" s="7">
        <v>24.25</v>
      </c>
      <c r="Y11" s="7">
        <v>17.039473684210527</v>
      </c>
      <c r="AC11" s="16" t="s">
        <v>41</v>
      </c>
      <c r="AD11" s="16">
        <v>3</v>
      </c>
      <c r="AE11" s="16">
        <v>280</v>
      </c>
      <c r="AF11" s="16">
        <v>93.333333333333329</v>
      </c>
      <c r="AG11" s="16">
        <v>4441.3333333333339</v>
      </c>
      <c r="AJ11" s="67"/>
      <c r="AK11" s="47" t="s">
        <v>63</v>
      </c>
      <c r="AL11" s="47">
        <v>-5.7532281205164904E-2</v>
      </c>
      <c r="BA11" s="67"/>
    </row>
    <row r="12" spans="1:53" x14ac:dyDescent="0.25">
      <c r="A12" s="2">
        <v>11</v>
      </c>
      <c r="B12" s="2">
        <v>32</v>
      </c>
      <c r="C12" s="2">
        <v>30</v>
      </c>
      <c r="D12" s="2">
        <v>112</v>
      </c>
      <c r="E12" s="2">
        <v>162</v>
      </c>
      <c r="F12" s="2" t="s">
        <v>8</v>
      </c>
      <c r="G12" s="2">
        <v>62</v>
      </c>
      <c r="O12" s="4" t="s">
        <v>20</v>
      </c>
      <c r="P12" s="4">
        <v>33.25</v>
      </c>
      <c r="Q12" s="4">
        <v>-0.875</v>
      </c>
      <c r="R12" s="4">
        <v>33.25</v>
      </c>
      <c r="S12" s="4">
        <f>VARP(Healthcare_Data!$E$2:$E$21)</f>
        <v>33.25</v>
      </c>
      <c r="U12" s="7" t="s">
        <v>18</v>
      </c>
      <c r="V12" s="7">
        <v>20</v>
      </c>
      <c r="W12" s="7">
        <v>2230</v>
      </c>
      <c r="X12" s="7">
        <v>111.5</v>
      </c>
      <c r="Y12" s="7">
        <v>35</v>
      </c>
      <c r="AC12" s="16" t="s">
        <v>42</v>
      </c>
      <c r="AD12" s="16">
        <v>3</v>
      </c>
      <c r="AE12" s="16">
        <v>283</v>
      </c>
      <c r="AF12" s="16">
        <v>94.333333333333329</v>
      </c>
      <c r="AG12" s="16">
        <v>4441.3333333333339</v>
      </c>
      <c r="AJ12" s="67"/>
      <c r="AK12" s="47" t="s">
        <v>64</v>
      </c>
      <c r="AL12" s="47">
        <v>5.7869268388466386</v>
      </c>
      <c r="BA12" s="67"/>
    </row>
    <row r="13" spans="1:53" x14ac:dyDescent="0.25">
      <c r="A13" s="2">
        <v>12</v>
      </c>
      <c r="B13" s="2">
        <v>33</v>
      </c>
      <c r="C13" s="2">
        <v>31</v>
      </c>
      <c r="D13" s="2">
        <v>113</v>
      </c>
      <c r="E13" s="2">
        <v>163</v>
      </c>
      <c r="F13" s="2" t="s">
        <v>9</v>
      </c>
      <c r="G13" s="2">
        <v>63</v>
      </c>
      <c r="J13" s="72" t="s">
        <v>100</v>
      </c>
      <c r="K13" s="69"/>
      <c r="AC13" s="16" t="s">
        <v>43</v>
      </c>
      <c r="AD13" s="16">
        <v>3</v>
      </c>
      <c r="AE13" s="16">
        <v>286</v>
      </c>
      <c r="AF13" s="16">
        <v>95.333333333333329</v>
      </c>
      <c r="AG13" s="16">
        <v>4441.3333333333339</v>
      </c>
      <c r="AJ13" s="67"/>
      <c r="AK13" s="47" t="s">
        <v>65</v>
      </c>
      <c r="AL13" s="47">
        <v>19</v>
      </c>
      <c r="BA13" s="67"/>
    </row>
    <row r="14" spans="1:53" x14ac:dyDescent="0.25">
      <c r="A14" s="2">
        <v>13</v>
      </c>
      <c r="B14" s="2">
        <v>34</v>
      </c>
      <c r="C14" s="2">
        <v>32</v>
      </c>
      <c r="D14" s="2">
        <v>114</v>
      </c>
      <c r="E14" s="2">
        <v>164</v>
      </c>
      <c r="F14" s="2" t="s">
        <v>7</v>
      </c>
      <c r="G14" s="2">
        <v>64</v>
      </c>
      <c r="J14" s="70"/>
      <c r="K14" s="71"/>
      <c r="AC14" s="16" t="s">
        <v>44</v>
      </c>
      <c r="AD14" s="16">
        <v>3</v>
      </c>
      <c r="AE14" s="16">
        <v>289</v>
      </c>
      <c r="AF14" s="16">
        <v>96.333333333333329</v>
      </c>
      <c r="AG14" s="16">
        <v>4441.3333333333339</v>
      </c>
      <c r="AJ14" s="67"/>
      <c r="BA14" s="67"/>
    </row>
    <row r="15" spans="1:53" ht="25.5" customHeight="1" x14ac:dyDescent="0.35">
      <c r="A15" s="2">
        <v>14</v>
      </c>
      <c r="B15" s="2">
        <v>35</v>
      </c>
      <c r="C15" s="2">
        <v>18</v>
      </c>
      <c r="D15" s="2">
        <v>115</v>
      </c>
      <c r="E15" s="2">
        <v>165</v>
      </c>
      <c r="F15" s="2" t="s">
        <v>8</v>
      </c>
      <c r="G15" s="2">
        <v>65</v>
      </c>
      <c r="J15" s="73" t="s">
        <v>87</v>
      </c>
      <c r="K15" s="74">
        <v>31</v>
      </c>
      <c r="N15" s="36" t="s">
        <v>33</v>
      </c>
      <c r="O15" s="37"/>
      <c r="P15" s="37"/>
      <c r="Q15" s="37"/>
      <c r="R15" s="38"/>
      <c r="U15" s="21" t="s">
        <v>29</v>
      </c>
      <c r="V15" s="22"/>
      <c r="W15" s="22"/>
      <c r="X15" s="22"/>
      <c r="Y15" s="22"/>
      <c r="Z15" s="22"/>
      <c r="AA15" s="23"/>
      <c r="AC15" s="16" t="s">
        <v>45</v>
      </c>
      <c r="AD15" s="16">
        <v>3</v>
      </c>
      <c r="AE15" s="16">
        <v>292</v>
      </c>
      <c r="AF15" s="16">
        <v>97.333333333333329</v>
      </c>
      <c r="AG15" s="16">
        <v>4441.3333333333339</v>
      </c>
      <c r="AJ15" s="67"/>
      <c r="AK15" s="48" t="s">
        <v>29</v>
      </c>
      <c r="AL15" s="49"/>
      <c r="AM15" s="49"/>
      <c r="AN15" s="49"/>
      <c r="AO15" s="49"/>
      <c r="AP15" s="50"/>
      <c r="BA15" s="67"/>
    </row>
    <row r="16" spans="1:53" x14ac:dyDescent="0.25">
      <c r="A16" s="2">
        <v>15</v>
      </c>
      <c r="B16" s="2">
        <v>36</v>
      </c>
      <c r="C16" s="2">
        <v>19</v>
      </c>
      <c r="D16" s="2">
        <v>116</v>
      </c>
      <c r="E16" s="2">
        <v>166</v>
      </c>
      <c r="F16" s="2" t="s">
        <v>9</v>
      </c>
      <c r="G16" s="2">
        <v>66</v>
      </c>
      <c r="J16" s="73" t="s">
        <v>64</v>
      </c>
      <c r="K16" s="74">
        <v>1.2909944487358054</v>
      </c>
      <c r="N16" s="39"/>
      <c r="O16" s="40"/>
      <c r="P16" s="40"/>
      <c r="Q16" s="40"/>
      <c r="R16" s="41"/>
      <c r="U16" s="8" t="s">
        <v>30</v>
      </c>
      <c r="V16" s="8" t="s">
        <v>10</v>
      </c>
      <c r="W16" s="8" t="s">
        <v>11</v>
      </c>
      <c r="X16" s="8" t="s">
        <v>12</v>
      </c>
      <c r="Y16" s="8" t="s">
        <v>13</v>
      </c>
      <c r="Z16" s="8" t="s">
        <v>14</v>
      </c>
      <c r="AA16" s="8" t="s">
        <v>31</v>
      </c>
      <c r="AC16" s="16" t="s">
        <v>46</v>
      </c>
      <c r="AD16" s="16">
        <v>3</v>
      </c>
      <c r="AE16" s="16">
        <v>295</v>
      </c>
      <c r="AF16" s="16">
        <v>98.333333333333329</v>
      </c>
      <c r="AG16" s="16">
        <v>4441.3333333333339</v>
      </c>
      <c r="AJ16" s="67"/>
      <c r="AK16" s="51"/>
      <c r="AL16" s="51" t="s">
        <v>11</v>
      </c>
      <c r="AM16" s="51" t="s">
        <v>10</v>
      </c>
      <c r="AN16" s="51" t="s">
        <v>12</v>
      </c>
      <c r="AO16" s="51" t="s">
        <v>13</v>
      </c>
      <c r="AP16" s="51" t="s">
        <v>69</v>
      </c>
      <c r="BA16" s="67"/>
    </row>
    <row r="17" spans="1:53" x14ac:dyDescent="0.25">
      <c r="A17" s="2">
        <v>16</v>
      </c>
      <c r="B17" s="2">
        <v>37</v>
      </c>
      <c r="C17" s="2">
        <v>20</v>
      </c>
      <c r="D17" s="2">
        <v>117</v>
      </c>
      <c r="E17" s="2">
        <v>167</v>
      </c>
      <c r="F17" s="2" t="s">
        <v>7</v>
      </c>
      <c r="G17" s="2">
        <v>67</v>
      </c>
      <c r="J17" s="73" t="s">
        <v>88</v>
      </c>
      <c r="K17" s="74">
        <v>31</v>
      </c>
      <c r="N17" s="10" t="s">
        <v>23</v>
      </c>
      <c r="O17" s="12">
        <v>20</v>
      </c>
      <c r="P17" s="12">
        <v>102</v>
      </c>
      <c r="Q17" s="12">
        <v>152</v>
      </c>
      <c r="R17" s="12" t="s">
        <v>32</v>
      </c>
      <c r="U17" s="7" t="s">
        <v>15</v>
      </c>
      <c r="V17" s="7">
        <v>76125.625</v>
      </c>
      <c r="W17" s="7">
        <v>1</v>
      </c>
      <c r="X17" s="7">
        <v>76125.625</v>
      </c>
      <c r="Y17" s="7">
        <v>2925.6877370417192</v>
      </c>
      <c r="Z17" s="7">
        <v>1.4552065195405931E-37</v>
      </c>
      <c r="AA17" s="7">
        <v>4.098171730880841</v>
      </c>
      <c r="AC17" s="16" t="s">
        <v>47</v>
      </c>
      <c r="AD17" s="16">
        <v>3</v>
      </c>
      <c r="AE17" s="16">
        <v>298</v>
      </c>
      <c r="AF17" s="16">
        <v>99.333333333333329</v>
      </c>
      <c r="AG17" s="16">
        <v>4441.3333333333339</v>
      </c>
      <c r="AJ17" s="67"/>
      <c r="AK17" s="59" t="s">
        <v>66</v>
      </c>
      <c r="AL17" s="59">
        <v>1</v>
      </c>
      <c r="AM17" s="59">
        <v>0.69512195121956211</v>
      </c>
      <c r="AN17" s="59">
        <v>0.69512195121956211</v>
      </c>
      <c r="AO17" s="59">
        <v>2.0757020757022251E-2</v>
      </c>
      <c r="AP17" s="59">
        <v>0.88713698630462767</v>
      </c>
      <c r="BA17" s="67"/>
    </row>
    <row r="18" spans="1:53" x14ac:dyDescent="0.25">
      <c r="A18" s="2">
        <v>17</v>
      </c>
      <c r="B18" s="2">
        <v>38</v>
      </c>
      <c r="C18" s="2">
        <v>21</v>
      </c>
      <c r="D18" s="2">
        <v>118</v>
      </c>
      <c r="E18" s="2">
        <v>168</v>
      </c>
      <c r="F18" s="2" t="s">
        <v>8</v>
      </c>
      <c r="G18" s="2">
        <v>68</v>
      </c>
      <c r="J18" s="73" t="s">
        <v>89</v>
      </c>
      <c r="K18" s="74">
        <v>20</v>
      </c>
      <c r="N18" s="11">
        <v>23</v>
      </c>
      <c r="O18" s="13"/>
      <c r="P18" s="13"/>
      <c r="Q18" s="13"/>
      <c r="R18" s="13"/>
      <c r="U18" s="7" t="s">
        <v>16</v>
      </c>
      <c r="V18" s="7">
        <v>988.75</v>
      </c>
      <c r="W18" s="7">
        <v>38</v>
      </c>
      <c r="X18" s="7">
        <v>26.019736842105264</v>
      </c>
      <c r="Y18" s="7"/>
      <c r="Z18" s="7"/>
      <c r="AA18" s="7"/>
      <c r="AC18" s="16" t="s">
        <v>48</v>
      </c>
      <c r="AD18" s="16">
        <v>3</v>
      </c>
      <c r="AE18" s="16">
        <v>301</v>
      </c>
      <c r="AF18" s="16">
        <v>100.33333333333333</v>
      </c>
      <c r="AG18" s="16">
        <v>4441.3333333333339</v>
      </c>
      <c r="AJ18" s="67"/>
      <c r="AK18" s="59" t="s">
        <v>67</v>
      </c>
      <c r="AL18" s="59">
        <v>17</v>
      </c>
      <c r="AM18" s="59">
        <v>569.30487804878044</v>
      </c>
      <c r="AN18" s="59">
        <v>33.488522238163554</v>
      </c>
      <c r="AO18" s="59"/>
      <c r="AP18" s="59"/>
      <c r="BA18" s="67"/>
    </row>
    <row r="19" spans="1:53" x14ac:dyDescent="0.25">
      <c r="A19" s="2">
        <v>18</v>
      </c>
      <c r="B19" s="2">
        <v>39</v>
      </c>
      <c r="C19" s="2">
        <v>22</v>
      </c>
      <c r="D19" s="2">
        <v>119</v>
      </c>
      <c r="E19" s="2">
        <v>169</v>
      </c>
      <c r="F19" s="2" t="s">
        <v>9</v>
      </c>
      <c r="G19" s="2">
        <v>69</v>
      </c>
      <c r="J19" s="73" t="s">
        <v>90</v>
      </c>
      <c r="K19" s="74">
        <v>5.6273143387113773</v>
      </c>
      <c r="N19" s="10" t="s">
        <v>25</v>
      </c>
      <c r="O19" s="12">
        <v>2</v>
      </c>
      <c r="P19" s="12">
        <v>2</v>
      </c>
      <c r="Q19" s="12">
        <v>2</v>
      </c>
      <c r="R19" s="12">
        <v>6</v>
      </c>
      <c r="U19" s="7"/>
      <c r="V19" s="7"/>
      <c r="W19" s="7"/>
      <c r="X19" s="7"/>
      <c r="Y19" s="7"/>
      <c r="Z19" s="7"/>
      <c r="AA19" s="7"/>
      <c r="AC19" s="16" t="s">
        <v>49</v>
      </c>
      <c r="AD19" s="16">
        <v>3</v>
      </c>
      <c r="AE19" s="16">
        <v>304</v>
      </c>
      <c r="AF19" s="16">
        <v>101.33333333333333</v>
      </c>
      <c r="AG19" s="16">
        <v>4441.3333333333339</v>
      </c>
      <c r="AJ19" s="67"/>
      <c r="AK19" s="59" t="s">
        <v>32</v>
      </c>
      <c r="AL19" s="59">
        <v>18</v>
      </c>
      <c r="AM19" s="59">
        <v>570</v>
      </c>
      <c r="AN19" s="59"/>
      <c r="AO19" s="59"/>
      <c r="AP19" s="59"/>
      <c r="BA19" s="67"/>
    </row>
    <row r="20" spans="1:53" x14ac:dyDescent="0.25">
      <c r="A20" s="2">
        <v>19</v>
      </c>
      <c r="B20" s="2">
        <v>40</v>
      </c>
      <c r="C20" s="2">
        <v>23</v>
      </c>
      <c r="D20" s="2">
        <v>120</v>
      </c>
      <c r="E20" s="2">
        <v>170</v>
      </c>
      <c r="F20" s="2" t="s">
        <v>7</v>
      </c>
      <c r="G20" s="2">
        <v>70</v>
      </c>
      <c r="J20" s="73" t="s">
        <v>91</v>
      </c>
      <c r="K20" s="74">
        <v>31.666666666666668</v>
      </c>
      <c r="N20" s="10" t="s">
        <v>26</v>
      </c>
      <c r="O20" s="12">
        <v>43</v>
      </c>
      <c r="P20" s="12">
        <v>207</v>
      </c>
      <c r="Q20" s="12">
        <v>307</v>
      </c>
      <c r="R20" s="12">
        <v>557</v>
      </c>
      <c r="U20" s="7" t="s">
        <v>32</v>
      </c>
      <c r="V20" s="7">
        <v>77114.375</v>
      </c>
      <c r="W20" s="7">
        <v>39</v>
      </c>
      <c r="X20" s="7"/>
      <c r="Y20" s="7"/>
      <c r="Z20" s="7"/>
      <c r="AA20" s="7"/>
      <c r="AC20" s="16" t="s">
        <v>50</v>
      </c>
      <c r="AD20" s="16">
        <v>3</v>
      </c>
      <c r="AE20" s="16">
        <v>307</v>
      </c>
      <c r="AF20" s="16">
        <v>102.33333333333333</v>
      </c>
      <c r="AG20" s="16">
        <v>4441.3333333333339</v>
      </c>
      <c r="AJ20" s="67"/>
      <c r="BA20" s="67"/>
    </row>
    <row r="21" spans="1:53" x14ac:dyDescent="0.25">
      <c r="A21" s="2">
        <v>20</v>
      </c>
      <c r="B21" s="2">
        <v>41</v>
      </c>
      <c r="C21" s="2">
        <v>24</v>
      </c>
      <c r="D21" s="2">
        <v>121</v>
      </c>
      <c r="E21" s="2">
        <v>171</v>
      </c>
      <c r="F21" s="2" t="s">
        <v>8</v>
      </c>
      <c r="G21" s="2">
        <v>71</v>
      </c>
      <c r="J21" s="73" t="s">
        <v>92</v>
      </c>
      <c r="K21" s="74">
        <v>-1.1999999999999993</v>
      </c>
      <c r="N21" s="10" t="s">
        <v>27</v>
      </c>
      <c r="O21" s="12">
        <v>21.5</v>
      </c>
      <c r="P21" s="12">
        <v>103.5</v>
      </c>
      <c r="Q21" s="12">
        <v>153.5</v>
      </c>
      <c r="R21" s="12">
        <v>92.833333333333329</v>
      </c>
      <c r="AC21" s="16" t="s">
        <v>51</v>
      </c>
      <c r="AD21" s="16">
        <v>3</v>
      </c>
      <c r="AE21" s="16">
        <v>310</v>
      </c>
      <c r="AF21" s="16">
        <v>103.33333333333333</v>
      </c>
      <c r="AG21" s="16">
        <v>4441.3333333333339</v>
      </c>
      <c r="AJ21" s="67"/>
      <c r="AK21" s="51"/>
      <c r="AL21" s="51" t="s">
        <v>70</v>
      </c>
      <c r="AM21" s="51" t="s">
        <v>64</v>
      </c>
      <c r="AN21" s="51" t="s">
        <v>71</v>
      </c>
      <c r="AO21" s="51" t="s">
        <v>14</v>
      </c>
      <c r="AP21" s="51" t="s">
        <v>72</v>
      </c>
      <c r="AQ21" s="51" t="s">
        <v>73</v>
      </c>
      <c r="AR21" s="51" t="s">
        <v>74</v>
      </c>
      <c r="AS21" s="51" t="s">
        <v>75</v>
      </c>
      <c r="BA21" s="67"/>
    </row>
    <row r="22" spans="1:53" x14ac:dyDescent="0.25">
      <c r="A22" s="2">
        <v>21</v>
      </c>
      <c r="B22" s="2">
        <v>42</v>
      </c>
      <c r="C22" s="2">
        <v>25</v>
      </c>
      <c r="D22" s="2">
        <v>122</v>
      </c>
      <c r="E22" s="2">
        <v>172</v>
      </c>
      <c r="F22" s="2" t="s">
        <v>9</v>
      </c>
      <c r="G22" s="2">
        <v>72</v>
      </c>
      <c r="J22" s="73" t="s">
        <v>93</v>
      </c>
      <c r="K22" s="74">
        <v>0</v>
      </c>
      <c r="N22" s="10" t="s">
        <v>28</v>
      </c>
      <c r="O22" s="12">
        <v>0.5</v>
      </c>
      <c r="P22" s="12">
        <v>0.5</v>
      </c>
      <c r="Q22" s="12">
        <v>0.5</v>
      </c>
      <c r="R22" s="12">
        <v>3553.3666666666672</v>
      </c>
      <c r="AC22" s="16" t="s">
        <v>52</v>
      </c>
      <c r="AD22" s="16">
        <v>3</v>
      </c>
      <c r="AE22" s="16">
        <v>298</v>
      </c>
      <c r="AF22" s="16">
        <v>99.333333333333329</v>
      </c>
      <c r="AG22" s="16">
        <v>5586.3333333333339</v>
      </c>
      <c r="AJ22" s="67"/>
      <c r="AK22" s="59" t="s">
        <v>68</v>
      </c>
      <c r="AL22" s="59">
        <v>62.12439024390244</v>
      </c>
      <c r="AM22" s="59">
        <v>7.916427321386883</v>
      </c>
      <c r="AN22" s="59">
        <v>7.8475286542539537</v>
      </c>
      <c r="AO22" s="59">
        <v>4.7384657971060045E-7</v>
      </c>
      <c r="AP22" s="59">
        <v>45.422188560455112</v>
      </c>
      <c r="AQ22" s="59">
        <v>78.826591927349767</v>
      </c>
      <c r="AR22" s="59">
        <v>45.422188560455112</v>
      </c>
      <c r="AS22" s="59">
        <v>78.826591927349767</v>
      </c>
      <c r="BA22" s="67"/>
    </row>
    <row r="23" spans="1:53" x14ac:dyDescent="0.25">
      <c r="A23" s="2">
        <v>22</v>
      </c>
      <c r="B23" s="2">
        <v>43</v>
      </c>
      <c r="C23" s="2">
        <v>26</v>
      </c>
      <c r="D23" s="2">
        <v>123</v>
      </c>
      <c r="E23" s="2">
        <v>173</v>
      </c>
      <c r="F23" s="2" t="s">
        <v>7</v>
      </c>
      <c r="G23" s="2">
        <v>73</v>
      </c>
      <c r="J23" s="73" t="s">
        <v>94</v>
      </c>
      <c r="K23" s="74">
        <v>18</v>
      </c>
      <c r="N23" s="10"/>
      <c r="O23" s="12"/>
      <c r="P23" s="12"/>
      <c r="Q23" s="12"/>
      <c r="R23" s="12"/>
      <c r="U23" s="61" t="s">
        <v>38</v>
      </c>
      <c r="V23" s="61"/>
      <c r="W23" s="61"/>
      <c r="X23" s="61"/>
      <c r="Y23" s="61"/>
      <c r="AC23" s="16" t="s">
        <v>53</v>
      </c>
      <c r="AD23" s="16">
        <v>3</v>
      </c>
      <c r="AE23" s="16">
        <v>301</v>
      </c>
      <c r="AF23" s="16">
        <v>100.33333333333333</v>
      </c>
      <c r="AG23" s="16">
        <v>5586.3333333333339</v>
      </c>
      <c r="AJ23" s="67"/>
      <c r="AK23" s="59" t="s">
        <v>76</v>
      </c>
      <c r="AL23" s="59">
        <v>-4.6341463414634076E-2</v>
      </c>
      <c r="AM23" s="59">
        <v>0.32165272454517552</v>
      </c>
      <c r="AN23" s="59">
        <v>-0.14407297025126087</v>
      </c>
      <c r="AO23" s="59">
        <v>0.88713698630463189</v>
      </c>
      <c r="AP23" s="59">
        <v>-0.72496939231257429</v>
      </c>
      <c r="AQ23" s="59">
        <v>0.63228646548330614</v>
      </c>
      <c r="AR23" s="59">
        <v>-0.72496939231257429</v>
      </c>
      <c r="AS23" s="59">
        <v>0.63228646548330614</v>
      </c>
      <c r="BA23" s="67"/>
    </row>
    <row r="24" spans="1:53" x14ac:dyDescent="0.25">
      <c r="A24" s="2">
        <v>23</v>
      </c>
      <c r="B24" s="2">
        <v>44</v>
      </c>
      <c r="C24" s="2">
        <v>27</v>
      </c>
      <c r="D24" s="2">
        <v>124</v>
      </c>
      <c r="E24" s="2">
        <v>174</v>
      </c>
      <c r="F24" s="2" t="s">
        <v>8</v>
      </c>
      <c r="G24" s="2">
        <v>74</v>
      </c>
      <c r="J24" s="73" t="s">
        <v>95</v>
      </c>
      <c r="K24" s="74">
        <v>22</v>
      </c>
      <c r="N24" s="11">
        <v>25</v>
      </c>
      <c r="O24" s="13"/>
      <c r="P24" s="13"/>
      <c r="Q24" s="13"/>
      <c r="R24" s="13"/>
      <c r="U24" s="61"/>
      <c r="V24" s="61"/>
      <c r="W24" s="61"/>
      <c r="X24" s="61"/>
      <c r="Y24" s="61"/>
      <c r="AC24" s="16" t="s">
        <v>54</v>
      </c>
      <c r="AD24" s="16">
        <v>3</v>
      </c>
      <c r="AE24" s="16">
        <v>304</v>
      </c>
      <c r="AF24" s="16">
        <v>101.33333333333333</v>
      </c>
      <c r="AG24" s="16">
        <v>5586.3333333333339</v>
      </c>
      <c r="AJ24" s="67"/>
      <c r="BA24" s="67"/>
    </row>
    <row r="25" spans="1:53" x14ac:dyDescent="0.25">
      <c r="A25" s="2">
        <v>24</v>
      </c>
      <c r="B25" s="2">
        <v>45</v>
      </c>
      <c r="C25" s="2">
        <v>28</v>
      </c>
      <c r="D25" s="2">
        <v>125</v>
      </c>
      <c r="E25" s="2">
        <v>175</v>
      </c>
      <c r="F25" s="2" t="s">
        <v>9</v>
      </c>
      <c r="G25" s="2">
        <v>75</v>
      </c>
      <c r="J25" s="73" t="s">
        <v>96</v>
      </c>
      <c r="K25" s="74">
        <v>40</v>
      </c>
      <c r="N25" s="10" t="s">
        <v>25</v>
      </c>
      <c r="O25" s="12">
        <v>2</v>
      </c>
      <c r="P25" s="12">
        <v>2</v>
      </c>
      <c r="Q25" s="12">
        <v>2</v>
      </c>
      <c r="R25" s="12">
        <v>6</v>
      </c>
      <c r="U25" s="62" t="s">
        <v>23</v>
      </c>
      <c r="V25" s="62" t="s">
        <v>25</v>
      </c>
      <c r="W25" s="62" t="s">
        <v>26</v>
      </c>
      <c r="X25" s="62" t="s">
        <v>27</v>
      </c>
      <c r="Y25" s="62" t="s">
        <v>28</v>
      </c>
      <c r="AC25" s="16" t="s">
        <v>55</v>
      </c>
      <c r="AD25" s="16">
        <v>3</v>
      </c>
      <c r="AE25" s="16">
        <v>307</v>
      </c>
      <c r="AF25" s="16">
        <v>102.33333333333333</v>
      </c>
      <c r="AG25" s="16">
        <v>5586.3333333333339</v>
      </c>
      <c r="AJ25" s="67"/>
      <c r="BA25" s="67"/>
    </row>
    <row r="26" spans="1:53" x14ac:dyDescent="0.25">
      <c r="A26" s="2">
        <v>25</v>
      </c>
      <c r="B26" s="2">
        <v>46</v>
      </c>
      <c r="C26" s="2">
        <v>29</v>
      </c>
      <c r="D26" s="2">
        <v>126</v>
      </c>
      <c r="E26" s="2">
        <v>176</v>
      </c>
      <c r="F26" s="2" t="s">
        <v>7</v>
      </c>
      <c r="G26" s="2">
        <v>76</v>
      </c>
      <c r="J26" s="73" t="s">
        <v>26</v>
      </c>
      <c r="K26" s="74">
        <v>589</v>
      </c>
      <c r="N26" s="10" t="s">
        <v>26</v>
      </c>
      <c r="O26" s="12">
        <v>47</v>
      </c>
      <c r="P26" s="12">
        <v>211</v>
      </c>
      <c r="Q26" s="12">
        <v>311</v>
      </c>
      <c r="R26" s="12">
        <v>569</v>
      </c>
      <c r="U26" s="63">
        <v>21</v>
      </c>
      <c r="V26" s="63">
        <v>2</v>
      </c>
      <c r="W26" s="63">
        <v>256</v>
      </c>
      <c r="X26" s="63">
        <v>128</v>
      </c>
      <c r="Y26" s="63">
        <v>1250</v>
      </c>
      <c r="AC26" s="16" t="s">
        <v>56</v>
      </c>
      <c r="AD26" s="16">
        <v>3</v>
      </c>
      <c r="AE26" s="16">
        <v>310</v>
      </c>
      <c r="AF26" s="16">
        <v>103.33333333333333</v>
      </c>
      <c r="AG26" s="16">
        <v>5586.3333333333339</v>
      </c>
      <c r="AJ26" s="67"/>
      <c r="BA26" s="67"/>
    </row>
    <row r="27" spans="1:53" x14ac:dyDescent="0.25">
      <c r="A27" s="2">
        <v>26</v>
      </c>
      <c r="B27" s="2">
        <v>47</v>
      </c>
      <c r="C27" s="2">
        <v>30</v>
      </c>
      <c r="D27" s="2">
        <v>127</v>
      </c>
      <c r="E27" s="2">
        <v>177</v>
      </c>
      <c r="F27" s="2" t="s">
        <v>8</v>
      </c>
      <c r="G27" s="2">
        <v>77</v>
      </c>
      <c r="J27" s="73" t="s">
        <v>25</v>
      </c>
      <c r="K27" s="74">
        <v>19</v>
      </c>
      <c r="N27" s="10" t="s">
        <v>27</v>
      </c>
      <c r="O27" s="12">
        <v>23.5</v>
      </c>
      <c r="P27" s="12">
        <v>105.5</v>
      </c>
      <c r="Q27" s="12">
        <v>155.5</v>
      </c>
      <c r="R27" s="12">
        <v>94.833333333333329</v>
      </c>
      <c r="U27" s="63">
        <v>22</v>
      </c>
      <c r="V27" s="63">
        <v>2</v>
      </c>
      <c r="W27" s="63">
        <v>258</v>
      </c>
      <c r="X27" s="63">
        <v>129</v>
      </c>
      <c r="Y27" s="63">
        <v>1250</v>
      </c>
      <c r="AC27" s="16" t="s">
        <v>57</v>
      </c>
      <c r="AD27" s="16">
        <v>3</v>
      </c>
      <c r="AE27" s="16">
        <v>313</v>
      </c>
      <c r="AF27" s="16">
        <v>104.33333333333333</v>
      </c>
      <c r="AG27" s="16">
        <v>5586.3333333333339</v>
      </c>
      <c r="AJ27" s="67"/>
      <c r="AK27" s="52" t="s">
        <v>77</v>
      </c>
      <c r="AL27" s="53"/>
      <c r="AM27" s="53"/>
      <c r="AN27" s="54"/>
      <c r="AP27" s="60" t="s">
        <v>82</v>
      </c>
      <c r="AQ27" s="60"/>
      <c r="BA27" s="67"/>
    </row>
    <row r="28" spans="1:53" x14ac:dyDescent="0.25">
      <c r="A28" s="2">
        <v>27</v>
      </c>
      <c r="B28" s="2">
        <v>48</v>
      </c>
      <c r="C28" s="2">
        <v>31</v>
      </c>
      <c r="D28" s="2">
        <v>128</v>
      </c>
      <c r="E28" s="2">
        <v>178</v>
      </c>
      <c r="F28" s="2" t="s">
        <v>9</v>
      </c>
      <c r="G28" s="2">
        <v>78</v>
      </c>
      <c r="J28" s="73" t="s">
        <v>97</v>
      </c>
      <c r="K28" s="74">
        <v>40</v>
      </c>
      <c r="N28" s="10" t="s">
        <v>28</v>
      </c>
      <c r="O28" s="12">
        <v>0.5</v>
      </c>
      <c r="P28" s="12">
        <v>0.5</v>
      </c>
      <c r="Q28" s="12">
        <v>0.5</v>
      </c>
      <c r="R28" s="12">
        <v>3553.3666666666672</v>
      </c>
      <c r="U28" s="63">
        <v>23</v>
      </c>
      <c r="V28" s="63">
        <v>2</v>
      </c>
      <c r="W28" s="63">
        <v>260</v>
      </c>
      <c r="X28" s="63">
        <v>130</v>
      </c>
      <c r="Y28" s="63">
        <v>1250</v>
      </c>
      <c r="AC28" s="16"/>
      <c r="AD28" s="16"/>
      <c r="AE28" s="16"/>
      <c r="AF28" s="16"/>
      <c r="AG28" s="16"/>
      <c r="AJ28" s="67"/>
      <c r="AK28" s="55"/>
      <c r="AL28" s="56"/>
      <c r="AM28" s="56"/>
      <c r="AN28" s="57"/>
      <c r="AP28" s="60"/>
      <c r="AQ28" s="60"/>
      <c r="BA28" s="67"/>
    </row>
    <row r="29" spans="1:53" x14ac:dyDescent="0.25">
      <c r="A29" s="2">
        <v>28</v>
      </c>
      <c r="B29" s="2">
        <v>49</v>
      </c>
      <c r="C29" s="2">
        <v>32</v>
      </c>
      <c r="D29" s="2">
        <v>129</v>
      </c>
      <c r="E29" s="2">
        <v>179</v>
      </c>
      <c r="F29" s="2" t="s">
        <v>7</v>
      </c>
      <c r="G29" s="2">
        <v>79</v>
      </c>
      <c r="J29" s="73" t="s">
        <v>98</v>
      </c>
      <c r="K29" s="74">
        <v>22</v>
      </c>
      <c r="N29" s="10"/>
      <c r="O29" s="12"/>
      <c r="P29" s="12"/>
      <c r="Q29" s="12"/>
      <c r="R29" s="12"/>
      <c r="U29" s="63">
        <v>24</v>
      </c>
      <c r="V29" s="63">
        <v>2</v>
      </c>
      <c r="W29" s="63">
        <v>262</v>
      </c>
      <c r="X29" s="63">
        <v>131</v>
      </c>
      <c r="Y29" s="63">
        <v>1250</v>
      </c>
      <c r="AC29" s="16" t="s">
        <v>17</v>
      </c>
      <c r="AD29" s="16">
        <v>19</v>
      </c>
      <c r="AE29" s="16">
        <v>461</v>
      </c>
      <c r="AF29" s="16">
        <v>24.263157894736842</v>
      </c>
      <c r="AG29" s="16">
        <v>17.982456140350831</v>
      </c>
      <c r="AJ29" s="67"/>
      <c r="AK29" s="58" t="s">
        <v>78</v>
      </c>
      <c r="AL29" s="58" t="s">
        <v>79</v>
      </c>
      <c r="AM29" s="58" t="s">
        <v>80</v>
      </c>
      <c r="AN29" s="58" t="s">
        <v>81</v>
      </c>
      <c r="AP29" s="58" t="s">
        <v>83</v>
      </c>
      <c r="AQ29" s="58" t="s">
        <v>84</v>
      </c>
      <c r="BA29" s="67"/>
    </row>
    <row r="30" spans="1:53" x14ac:dyDescent="0.25">
      <c r="A30" s="2">
        <v>29</v>
      </c>
      <c r="B30" s="2">
        <v>50</v>
      </c>
      <c r="C30" s="2">
        <v>18</v>
      </c>
      <c r="D30" s="2">
        <v>130</v>
      </c>
      <c r="E30" s="2">
        <v>180</v>
      </c>
      <c r="F30" s="2" t="s">
        <v>8</v>
      </c>
      <c r="G30" s="2">
        <v>80</v>
      </c>
      <c r="J30" s="73" t="s">
        <v>99</v>
      </c>
      <c r="K30" s="74">
        <v>2.712278691177882</v>
      </c>
      <c r="N30" s="11">
        <v>27</v>
      </c>
      <c r="O30" s="13"/>
      <c r="P30" s="13"/>
      <c r="Q30" s="13"/>
      <c r="R30" s="13"/>
      <c r="U30" s="63">
        <v>25</v>
      </c>
      <c r="V30" s="63">
        <v>2</v>
      </c>
      <c r="W30" s="63">
        <v>264</v>
      </c>
      <c r="X30" s="63">
        <v>132</v>
      </c>
      <c r="Y30" s="63">
        <v>1250</v>
      </c>
      <c r="AC30" s="16" t="s">
        <v>18</v>
      </c>
      <c r="AD30" s="16">
        <v>19</v>
      </c>
      <c r="AE30" s="16">
        <v>2109</v>
      </c>
      <c r="AF30" s="16">
        <v>111</v>
      </c>
      <c r="AG30" s="16">
        <v>31.666666666666668</v>
      </c>
      <c r="AJ30" s="67"/>
      <c r="AK30" s="59">
        <v>1</v>
      </c>
      <c r="AL30" s="59">
        <v>61.197560975609761</v>
      </c>
      <c r="AM30" s="59">
        <v>-9.1975609756097612</v>
      </c>
      <c r="AN30" s="59">
        <v>-1.6354470046074441</v>
      </c>
      <c r="AP30" s="59">
        <v>2.6315789473684212</v>
      </c>
      <c r="AQ30" s="59">
        <v>52</v>
      </c>
      <c r="BA30" s="67"/>
    </row>
    <row r="31" spans="1:53" x14ac:dyDescent="0.25">
      <c r="A31" s="2">
        <v>30</v>
      </c>
      <c r="B31" s="2">
        <v>51</v>
      </c>
      <c r="C31" s="2">
        <v>19</v>
      </c>
      <c r="D31" s="2">
        <v>131</v>
      </c>
      <c r="E31" s="2">
        <v>181</v>
      </c>
      <c r="F31" s="2" t="s">
        <v>9</v>
      </c>
      <c r="G31" s="2">
        <v>81</v>
      </c>
      <c r="N31" s="10" t="s">
        <v>25</v>
      </c>
      <c r="O31" s="12">
        <v>2</v>
      </c>
      <c r="P31" s="12">
        <v>2</v>
      </c>
      <c r="Q31" s="12">
        <v>2</v>
      </c>
      <c r="R31" s="12">
        <v>6</v>
      </c>
      <c r="U31" s="63">
        <v>26</v>
      </c>
      <c r="V31" s="63">
        <v>2</v>
      </c>
      <c r="W31" s="63">
        <v>266</v>
      </c>
      <c r="X31" s="63">
        <v>133</v>
      </c>
      <c r="Y31" s="63">
        <v>1250</v>
      </c>
      <c r="AC31" s="16" t="s">
        <v>19</v>
      </c>
      <c r="AD31" s="16">
        <v>19</v>
      </c>
      <c r="AE31" s="16">
        <v>3059</v>
      </c>
      <c r="AF31" s="16">
        <v>161</v>
      </c>
      <c r="AG31" s="16">
        <v>31.666666666666668</v>
      </c>
      <c r="AJ31" s="67"/>
      <c r="AK31" s="59">
        <v>2</v>
      </c>
      <c r="AL31" s="59">
        <v>61.151219512195127</v>
      </c>
      <c r="AM31" s="59">
        <v>-8.1512195121951265</v>
      </c>
      <c r="AN31" s="59">
        <v>-1.4493937654198032</v>
      </c>
      <c r="AP31" s="59">
        <v>7.8947368421052637</v>
      </c>
      <c r="AQ31" s="59">
        <v>53</v>
      </c>
      <c r="BA31" s="67"/>
    </row>
    <row r="32" spans="1:53" x14ac:dyDescent="0.25">
      <c r="A32" s="2">
        <v>31</v>
      </c>
      <c r="B32" s="2">
        <v>52</v>
      </c>
      <c r="C32" s="2">
        <v>20</v>
      </c>
      <c r="D32" s="2">
        <v>132</v>
      </c>
      <c r="E32" s="2">
        <v>182</v>
      </c>
      <c r="F32" s="2" t="s">
        <v>7</v>
      </c>
      <c r="G32" s="2">
        <v>82</v>
      </c>
      <c r="J32" s="77"/>
      <c r="K32" s="78"/>
      <c r="L32" s="78"/>
      <c r="N32" s="10" t="s">
        <v>26</v>
      </c>
      <c r="O32" s="12">
        <v>51</v>
      </c>
      <c r="P32" s="12">
        <v>215</v>
      </c>
      <c r="Q32" s="12">
        <v>315</v>
      </c>
      <c r="R32" s="12">
        <v>581</v>
      </c>
      <c r="U32" s="63">
        <v>27</v>
      </c>
      <c r="V32" s="63">
        <v>2</v>
      </c>
      <c r="W32" s="63">
        <v>268</v>
      </c>
      <c r="X32" s="63">
        <v>134</v>
      </c>
      <c r="Y32" s="63">
        <v>1250</v>
      </c>
      <c r="AJ32" s="67"/>
      <c r="AK32" s="59">
        <v>3</v>
      </c>
      <c r="AL32" s="59">
        <v>61.104878048780492</v>
      </c>
      <c r="AM32" s="59">
        <v>-7.1048780487804919</v>
      </c>
      <c r="AN32" s="59">
        <v>-1.2633405262321624</v>
      </c>
      <c r="AP32" s="59">
        <v>13.157894736842106</v>
      </c>
      <c r="AQ32" s="59">
        <v>54</v>
      </c>
      <c r="BA32" s="67"/>
    </row>
    <row r="33" spans="1:53" x14ac:dyDescent="0.25">
      <c r="A33" s="2">
        <v>32</v>
      </c>
      <c r="B33" s="2">
        <v>53</v>
      </c>
      <c r="C33" s="2">
        <v>21</v>
      </c>
      <c r="D33" s="2">
        <v>133</v>
      </c>
      <c r="E33" s="2">
        <v>183</v>
      </c>
      <c r="F33" s="2" t="s">
        <v>8</v>
      </c>
      <c r="G33" s="2">
        <v>83</v>
      </c>
      <c r="J33" s="78"/>
      <c r="K33" s="78"/>
      <c r="L33" s="78"/>
      <c r="N33" s="10" t="s">
        <v>27</v>
      </c>
      <c r="O33" s="12">
        <v>25.5</v>
      </c>
      <c r="P33" s="12">
        <v>107.5</v>
      </c>
      <c r="Q33" s="12">
        <v>157.5</v>
      </c>
      <c r="R33" s="12">
        <v>96.833333333333329</v>
      </c>
      <c r="U33" s="63">
        <v>28</v>
      </c>
      <c r="V33" s="63">
        <v>2</v>
      </c>
      <c r="W33" s="63">
        <v>270</v>
      </c>
      <c r="X33" s="63">
        <v>135</v>
      </c>
      <c r="Y33" s="63">
        <v>1250</v>
      </c>
      <c r="AJ33" s="67"/>
      <c r="AK33" s="59">
        <v>4</v>
      </c>
      <c r="AL33" s="59">
        <v>61.058536585365857</v>
      </c>
      <c r="AM33" s="59">
        <v>-6.0585365853658573</v>
      </c>
      <c r="AN33" s="59">
        <v>-1.0772872870445216</v>
      </c>
      <c r="AP33" s="59">
        <v>18.421052631578949</v>
      </c>
      <c r="AQ33" s="59">
        <v>55</v>
      </c>
      <c r="BA33" s="67"/>
    </row>
    <row r="34" spans="1:53" x14ac:dyDescent="0.25">
      <c r="A34" s="2">
        <v>33</v>
      </c>
      <c r="B34" s="2">
        <v>54</v>
      </c>
      <c r="C34" s="2">
        <v>22</v>
      </c>
      <c r="D34" s="2">
        <v>134</v>
      </c>
      <c r="E34" s="2">
        <v>184</v>
      </c>
      <c r="F34" s="2" t="s">
        <v>9</v>
      </c>
      <c r="G34" s="2">
        <v>84</v>
      </c>
      <c r="J34" s="76"/>
      <c r="K34" s="76"/>
      <c r="L34" s="76"/>
      <c r="N34" s="10" t="s">
        <v>28</v>
      </c>
      <c r="O34" s="12">
        <v>0.5</v>
      </c>
      <c r="P34" s="12">
        <v>0.5</v>
      </c>
      <c r="Q34" s="12">
        <v>0.5</v>
      </c>
      <c r="R34" s="12">
        <v>3553.3666666666672</v>
      </c>
      <c r="U34" s="63">
        <v>29</v>
      </c>
      <c r="V34" s="63">
        <v>2</v>
      </c>
      <c r="W34" s="63">
        <v>272</v>
      </c>
      <c r="X34" s="63">
        <v>136</v>
      </c>
      <c r="Y34" s="63">
        <v>1250</v>
      </c>
      <c r="AC34" s="19" t="s">
        <v>29</v>
      </c>
      <c r="AD34" s="19"/>
      <c r="AE34" s="19"/>
      <c r="AF34" s="19"/>
      <c r="AG34" s="19"/>
      <c r="AH34" s="19"/>
      <c r="AI34" s="19"/>
      <c r="AJ34" s="67"/>
      <c r="AK34" s="59">
        <v>5</v>
      </c>
      <c r="AL34" s="59">
        <v>61.012195121951223</v>
      </c>
      <c r="AM34" s="59">
        <v>-5.0121951219512226</v>
      </c>
      <c r="AN34" s="59">
        <v>-0.89123404785688087</v>
      </c>
      <c r="AP34" s="59">
        <v>23.684210526315791</v>
      </c>
      <c r="AQ34" s="59">
        <v>56</v>
      </c>
      <c r="BA34" s="67"/>
    </row>
    <row r="35" spans="1:53" x14ac:dyDescent="0.25">
      <c r="A35" s="2">
        <v>34</v>
      </c>
      <c r="B35" s="2">
        <v>55</v>
      </c>
      <c r="C35" s="2">
        <v>23</v>
      </c>
      <c r="D35" s="2">
        <v>135</v>
      </c>
      <c r="E35" s="2">
        <v>185</v>
      </c>
      <c r="F35" s="2" t="s">
        <v>7</v>
      </c>
      <c r="G35" s="2">
        <v>85</v>
      </c>
      <c r="J35" s="75"/>
      <c r="K35" s="75"/>
      <c r="L35" s="75"/>
      <c r="N35" s="10"/>
      <c r="O35" s="12"/>
      <c r="P35" s="12"/>
      <c r="Q35" s="12"/>
      <c r="R35" s="12"/>
      <c r="U35" s="63">
        <v>30</v>
      </c>
      <c r="V35" s="63">
        <v>2</v>
      </c>
      <c r="W35" s="63">
        <v>274</v>
      </c>
      <c r="X35" s="63">
        <v>137</v>
      </c>
      <c r="Y35" s="63">
        <v>1250</v>
      </c>
      <c r="AC35" s="15" t="s">
        <v>30</v>
      </c>
      <c r="AD35" s="15" t="s">
        <v>10</v>
      </c>
      <c r="AE35" s="15" t="s">
        <v>11</v>
      </c>
      <c r="AF35" s="15" t="s">
        <v>12</v>
      </c>
      <c r="AG35" s="15" t="s">
        <v>13</v>
      </c>
      <c r="AH35" s="15" t="s">
        <v>14</v>
      </c>
      <c r="AI35" s="15" t="s">
        <v>31</v>
      </c>
      <c r="AJ35" s="67"/>
      <c r="AK35" s="59">
        <v>6</v>
      </c>
      <c r="AL35" s="59">
        <v>60.965853658536588</v>
      </c>
      <c r="AM35" s="59">
        <v>-3.965853658536588</v>
      </c>
      <c r="AN35" s="59">
        <v>-0.70518080866924004</v>
      </c>
      <c r="AP35" s="59">
        <v>28.947368421052634</v>
      </c>
      <c r="AQ35" s="59">
        <v>57</v>
      </c>
      <c r="BA35" s="67"/>
    </row>
    <row r="36" spans="1:53" x14ac:dyDescent="0.25">
      <c r="A36" s="2">
        <v>35</v>
      </c>
      <c r="B36" s="2">
        <v>56</v>
      </c>
      <c r="C36" s="2">
        <v>24</v>
      </c>
      <c r="D36" s="2">
        <v>136</v>
      </c>
      <c r="E36" s="2">
        <v>186</v>
      </c>
      <c r="F36" s="2" t="s">
        <v>8</v>
      </c>
      <c r="G36" s="2">
        <v>86</v>
      </c>
      <c r="J36" s="75"/>
      <c r="K36" s="75"/>
      <c r="L36" s="75"/>
      <c r="N36" s="11">
        <v>29</v>
      </c>
      <c r="O36" s="13"/>
      <c r="P36" s="13"/>
      <c r="Q36" s="13"/>
      <c r="R36" s="13"/>
      <c r="U36" s="63">
        <v>31</v>
      </c>
      <c r="V36" s="63">
        <v>2</v>
      </c>
      <c r="W36" s="63">
        <v>276</v>
      </c>
      <c r="X36" s="63">
        <v>138</v>
      </c>
      <c r="Y36" s="63">
        <v>1250</v>
      </c>
      <c r="AC36" s="17" t="s">
        <v>58</v>
      </c>
      <c r="AD36" s="17">
        <v>847.89473684210679</v>
      </c>
      <c r="AE36" s="17">
        <v>18</v>
      </c>
      <c r="AF36" s="17">
        <v>47.105263157894825</v>
      </c>
      <c r="AG36" s="17">
        <v>2.7538461538461454</v>
      </c>
      <c r="AH36" s="17">
        <v>4.7380616406361127E-3</v>
      </c>
      <c r="AI36" s="17">
        <v>1.898621959558092</v>
      </c>
      <c r="AJ36" s="67"/>
      <c r="AK36" s="59">
        <v>7</v>
      </c>
      <c r="AL36" s="59">
        <v>60.919512195121953</v>
      </c>
      <c r="AM36" s="59">
        <v>-2.9195121951219534</v>
      </c>
      <c r="AN36" s="59">
        <v>-0.51912756948159922</v>
      </c>
      <c r="AP36" s="59">
        <v>34.21052631578948</v>
      </c>
      <c r="AQ36" s="59">
        <v>58</v>
      </c>
      <c r="BA36" s="67"/>
    </row>
    <row r="37" spans="1:53" x14ac:dyDescent="0.25">
      <c r="A37" s="2">
        <v>36</v>
      </c>
      <c r="B37" s="2">
        <v>57</v>
      </c>
      <c r="C37" s="2">
        <v>25</v>
      </c>
      <c r="D37" s="2">
        <v>137</v>
      </c>
      <c r="E37" s="2">
        <v>187</v>
      </c>
      <c r="F37" s="2" t="s">
        <v>9</v>
      </c>
      <c r="G37" s="2">
        <v>87</v>
      </c>
      <c r="J37" s="75"/>
      <c r="K37" s="75"/>
      <c r="L37" s="75"/>
      <c r="N37" s="10" t="s">
        <v>25</v>
      </c>
      <c r="O37" s="12">
        <v>2</v>
      </c>
      <c r="P37" s="12">
        <v>2</v>
      </c>
      <c r="Q37" s="12">
        <v>2</v>
      </c>
      <c r="R37" s="12">
        <v>6</v>
      </c>
      <c r="U37" s="63">
        <v>32</v>
      </c>
      <c r="V37" s="63">
        <v>2</v>
      </c>
      <c r="W37" s="63">
        <v>278</v>
      </c>
      <c r="X37" s="63">
        <v>139</v>
      </c>
      <c r="Y37" s="63">
        <v>1250</v>
      </c>
      <c r="AC37" s="17" t="s">
        <v>35</v>
      </c>
      <c r="AD37" s="17">
        <v>181894.87719298244</v>
      </c>
      <c r="AE37" s="17">
        <v>2</v>
      </c>
      <c r="AF37" s="17">
        <v>90947.438596491222</v>
      </c>
      <c r="AG37" s="17">
        <v>5316.9271794871529</v>
      </c>
      <c r="AH37" s="17">
        <v>3.2106441081141616E-45</v>
      </c>
      <c r="AI37" s="17">
        <v>3.2594463061441079</v>
      </c>
      <c r="AJ37" s="67"/>
      <c r="AK37" s="59">
        <v>8</v>
      </c>
      <c r="AL37" s="59">
        <v>60.873170731707319</v>
      </c>
      <c r="AM37" s="59">
        <v>-1.8731707317073187</v>
      </c>
      <c r="AN37" s="59">
        <v>-0.3330743302939585</v>
      </c>
      <c r="AP37" s="59">
        <v>39.473684210526315</v>
      </c>
      <c r="AQ37" s="59">
        <v>59</v>
      </c>
      <c r="BA37" s="67"/>
    </row>
    <row r="38" spans="1:53" x14ac:dyDescent="0.25">
      <c r="A38" s="2">
        <v>37</v>
      </c>
      <c r="B38" s="2">
        <v>58</v>
      </c>
      <c r="C38" s="2">
        <v>26</v>
      </c>
      <c r="D38" s="2">
        <v>138</v>
      </c>
      <c r="E38" s="2">
        <v>188</v>
      </c>
      <c r="F38" s="2" t="s">
        <v>7</v>
      </c>
      <c r="G38" s="2">
        <v>88</v>
      </c>
      <c r="J38" s="75"/>
      <c r="K38" s="75"/>
      <c r="L38" s="75"/>
      <c r="N38" s="10" t="s">
        <v>26</v>
      </c>
      <c r="O38" s="12">
        <v>55</v>
      </c>
      <c r="P38" s="12">
        <v>219</v>
      </c>
      <c r="Q38" s="12">
        <v>319</v>
      </c>
      <c r="R38" s="12">
        <v>593</v>
      </c>
      <c r="U38" s="63">
        <v>18</v>
      </c>
      <c r="V38" s="63">
        <v>2</v>
      </c>
      <c r="W38" s="63">
        <v>280</v>
      </c>
      <c r="X38" s="63">
        <v>140</v>
      </c>
      <c r="Y38" s="63">
        <v>1250</v>
      </c>
      <c r="AC38" s="17" t="s">
        <v>59</v>
      </c>
      <c r="AD38" s="17">
        <v>615.78947368421359</v>
      </c>
      <c r="AE38" s="17">
        <v>36</v>
      </c>
      <c r="AF38" s="17">
        <v>17.105263157894822</v>
      </c>
      <c r="AG38" s="17"/>
      <c r="AH38" s="17"/>
      <c r="AI38" s="17"/>
      <c r="AJ38" s="67"/>
      <c r="AK38" s="59">
        <v>9</v>
      </c>
      <c r="AL38" s="59">
        <v>60.826829268292684</v>
      </c>
      <c r="AM38" s="59">
        <v>-0.82682926829268411</v>
      </c>
      <c r="AN38" s="59">
        <v>-0.1470210911063177</v>
      </c>
      <c r="AP38" s="59">
        <v>44.736842105263165</v>
      </c>
      <c r="AQ38" s="59">
        <v>60</v>
      </c>
      <c r="BA38" s="67"/>
    </row>
    <row r="39" spans="1:53" x14ac:dyDescent="0.25">
      <c r="A39" s="2">
        <v>38</v>
      </c>
      <c r="B39" s="2">
        <v>59</v>
      </c>
      <c r="C39" s="2">
        <v>27</v>
      </c>
      <c r="D39" s="2">
        <v>139</v>
      </c>
      <c r="E39" s="2">
        <v>189</v>
      </c>
      <c r="F39" s="2" t="s">
        <v>8</v>
      </c>
      <c r="G39" s="2">
        <v>89</v>
      </c>
      <c r="J39" s="75"/>
      <c r="K39" s="75"/>
      <c r="L39" s="75"/>
      <c r="N39" s="10" t="s">
        <v>27</v>
      </c>
      <c r="O39" s="12">
        <v>27.5</v>
      </c>
      <c r="P39" s="12">
        <v>109.5</v>
      </c>
      <c r="Q39" s="12">
        <v>159.5</v>
      </c>
      <c r="R39" s="12">
        <v>98.833333333333329</v>
      </c>
      <c r="U39" s="63">
        <v>19</v>
      </c>
      <c r="V39" s="63">
        <v>2</v>
      </c>
      <c r="W39" s="63">
        <v>282</v>
      </c>
      <c r="X39" s="63">
        <v>141</v>
      </c>
      <c r="Y39" s="63">
        <v>1250</v>
      </c>
      <c r="AC39" s="17"/>
      <c r="AD39" s="17"/>
      <c r="AE39" s="17"/>
      <c r="AF39" s="17"/>
      <c r="AG39" s="17"/>
      <c r="AH39" s="17"/>
      <c r="AI39" s="17"/>
      <c r="AJ39" s="67"/>
      <c r="AK39" s="59">
        <v>10</v>
      </c>
      <c r="AL39" s="59">
        <v>60.780487804878049</v>
      </c>
      <c r="AM39" s="59">
        <v>0.21951219512195053</v>
      </c>
      <c r="AN39" s="59">
        <v>3.9032148081323104E-2</v>
      </c>
      <c r="AP39" s="59">
        <v>50</v>
      </c>
      <c r="AQ39" s="59">
        <v>61</v>
      </c>
      <c r="BA39" s="67"/>
    </row>
    <row r="40" spans="1:53" x14ac:dyDescent="0.25">
      <c r="A40" s="2">
        <v>39</v>
      </c>
      <c r="B40" s="2">
        <v>60</v>
      </c>
      <c r="C40" s="2">
        <v>28</v>
      </c>
      <c r="D40" s="2">
        <v>140</v>
      </c>
      <c r="E40" s="2">
        <v>190</v>
      </c>
      <c r="F40" s="2" t="s">
        <v>9</v>
      </c>
      <c r="G40" s="2">
        <v>50</v>
      </c>
      <c r="J40" s="75"/>
      <c r="K40" s="75"/>
      <c r="L40" s="75"/>
      <c r="N40" s="10" t="s">
        <v>28</v>
      </c>
      <c r="O40" s="12">
        <v>0.5</v>
      </c>
      <c r="P40" s="12">
        <v>0.5</v>
      </c>
      <c r="Q40" s="12">
        <v>0.5</v>
      </c>
      <c r="R40" s="12">
        <v>3553.3666666666672</v>
      </c>
      <c r="U40" s="63">
        <v>20</v>
      </c>
      <c r="V40" s="63">
        <v>2</v>
      </c>
      <c r="W40" s="63">
        <v>284</v>
      </c>
      <c r="X40" s="63">
        <v>142</v>
      </c>
      <c r="Y40" s="63">
        <v>1250</v>
      </c>
      <c r="AC40" s="17" t="s">
        <v>32</v>
      </c>
      <c r="AD40" s="17">
        <v>183358.56140350876</v>
      </c>
      <c r="AE40" s="17">
        <v>56</v>
      </c>
      <c r="AF40" s="17"/>
      <c r="AG40" s="17"/>
      <c r="AH40" s="17"/>
      <c r="AI40" s="17"/>
      <c r="AJ40" s="67"/>
      <c r="AK40" s="59">
        <v>11</v>
      </c>
      <c r="AL40" s="59">
        <v>60.734146341463415</v>
      </c>
      <c r="AM40" s="59">
        <v>1.2658536585365852</v>
      </c>
      <c r="AN40" s="59">
        <v>0.2250853872689639</v>
      </c>
      <c r="AP40" s="59">
        <v>55.26315789473685</v>
      </c>
      <c r="AQ40" s="59">
        <v>62</v>
      </c>
      <c r="BA40" s="67"/>
    </row>
    <row r="41" spans="1:53" x14ac:dyDescent="0.25">
      <c r="A41" s="2">
        <v>40</v>
      </c>
      <c r="B41" s="2">
        <v>61</v>
      </c>
      <c r="C41" s="2">
        <v>29</v>
      </c>
      <c r="D41" s="2">
        <v>141</v>
      </c>
      <c r="E41" s="2">
        <v>191</v>
      </c>
      <c r="F41" s="2" t="s">
        <v>7</v>
      </c>
      <c r="G41" s="2">
        <v>51</v>
      </c>
      <c r="J41" s="75"/>
      <c r="K41" s="75"/>
      <c r="L41" s="75"/>
      <c r="N41" s="10"/>
      <c r="O41" s="12"/>
      <c r="P41" s="12"/>
      <c r="Q41" s="12"/>
      <c r="R41" s="12"/>
      <c r="U41" s="63">
        <v>21</v>
      </c>
      <c r="V41" s="63">
        <v>2</v>
      </c>
      <c r="W41" s="63">
        <v>286</v>
      </c>
      <c r="X41" s="63">
        <v>143</v>
      </c>
      <c r="Y41" s="63">
        <v>1250</v>
      </c>
      <c r="AJ41" s="67"/>
      <c r="AK41" s="59">
        <v>12</v>
      </c>
      <c r="AL41" s="59">
        <v>60.68780487804878</v>
      </c>
      <c r="AM41" s="59">
        <v>2.3121951219512198</v>
      </c>
      <c r="AN41" s="59">
        <v>0.41113862645660471</v>
      </c>
      <c r="AP41" s="59">
        <v>60.526315789473685</v>
      </c>
      <c r="AQ41" s="59">
        <v>63</v>
      </c>
      <c r="BA41" s="67"/>
    </row>
    <row r="42" spans="1:53" x14ac:dyDescent="0.25">
      <c r="A42" s="2">
        <v>41</v>
      </c>
      <c r="B42" s="2">
        <v>62</v>
      </c>
      <c r="C42" s="2">
        <v>30</v>
      </c>
      <c r="D42" s="2">
        <v>142</v>
      </c>
      <c r="E42" s="2">
        <v>192</v>
      </c>
      <c r="F42" s="2" t="s">
        <v>8</v>
      </c>
      <c r="G42" s="2">
        <v>52</v>
      </c>
      <c r="J42" s="75"/>
      <c r="K42" s="75"/>
      <c r="L42" s="75"/>
      <c r="N42" s="11">
        <v>31</v>
      </c>
      <c r="O42" s="13"/>
      <c r="P42" s="13"/>
      <c r="Q42" s="13"/>
      <c r="R42" s="13"/>
      <c r="U42" s="63">
        <v>22</v>
      </c>
      <c r="V42" s="63">
        <v>2</v>
      </c>
      <c r="W42" s="63">
        <v>288</v>
      </c>
      <c r="X42" s="63">
        <v>144</v>
      </c>
      <c r="Y42" s="63">
        <v>1250</v>
      </c>
      <c r="AJ42" s="67"/>
      <c r="AK42" s="59">
        <v>13</v>
      </c>
      <c r="AL42" s="59">
        <v>60.641463414634146</v>
      </c>
      <c r="AM42" s="59">
        <v>3.3585365853658544</v>
      </c>
      <c r="AN42" s="59">
        <v>0.59719186564424542</v>
      </c>
      <c r="AP42" s="59">
        <v>65.789473684210535</v>
      </c>
      <c r="AQ42" s="59">
        <v>64</v>
      </c>
      <c r="BA42" s="67"/>
    </row>
    <row r="43" spans="1:53" x14ac:dyDescent="0.25">
      <c r="A43" s="2">
        <v>42</v>
      </c>
      <c r="B43" s="2">
        <v>63</v>
      </c>
      <c r="C43" s="2">
        <v>31</v>
      </c>
      <c r="D43" s="2">
        <v>143</v>
      </c>
      <c r="E43" s="2">
        <v>193</v>
      </c>
      <c r="F43" s="2" t="s">
        <v>9</v>
      </c>
      <c r="G43" s="2">
        <v>53</v>
      </c>
      <c r="J43" s="75"/>
      <c r="K43" s="75"/>
      <c r="L43" s="75"/>
      <c r="N43" s="10" t="s">
        <v>25</v>
      </c>
      <c r="O43" s="12">
        <v>2</v>
      </c>
      <c r="P43" s="12">
        <v>2</v>
      </c>
      <c r="Q43" s="12">
        <v>2</v>
      </c>
      <c r="R43" s="12">
        <v>6</v>
      </c>
      <c r="U43" s="63">
        <v>23</v>
      </c>
      <c r="V43" s="63">
        <v>2</v>
      </c>
      <c r="W43" s="63">
        <v>290</v>
      </c>
      <c r="X43" s="63">
        <v>145</v>
      </c>
      <c r="Y43" s="63">
        <v>1250</v>
      </c>
      <c r="AJ43" s="67"/>
      <c r="AK43" s="59">
        <v>14</v>
      </c>
      <c r="AL43" s="59">
        <v>61.290243902439023</v>
      </c>
      <c r="AM43" s="59">
        <v>3.7097560975609767</v>
      </c>
      <c r="AN43" s="59">
        <v>0.65964330257436266</v>
      </c>
      <c r="AP43" s="59">
        <v>71.052631578947384</v>
      </c>
      <c r="AQ43" s="59">
        <v>65</v>
      </c>
      <c r="BA43" s="67"/>
    </row>
    <row r="44" spans="1:53" x14ac:dyDescent="0.25">
      <c r="A44" s="2">
        <v>43</v>
      </c>
      <c r="B44" s="2">
        <v>64</v>
      </c>
      <c r="C44" s="2">
        <v>32</v>
      </c>
      <c r="D44" s="2">
        <v>144</v>
      </c>
      <c r="E44" s="2">
        <v>194</v>
      </c>
      <c r="F44" s="2" t="s">
        <v>7</v>
      </c>
      <c r="G44" s="2">
        <v>54</v>
      </c>
      <c r="J44" s="75"/>
      <c r="K44" s="75"/>
      <c r="L44" s="75"/>
      <c r="N44" s="10" t="s">
        <v>26</v>
      </c>
      <c r="O44" s="12">
        <v>59</v>
      </c>
      <c r="P44" s="12">
        <v>223</v>
      </c>
      <c r="Q44" s="12">
        <v>323</v>
      </c>
      <c r="R44" s="12">
        <v>605</v>
      </c>
      <c r="U44" s="63">
        <v>24</v>
      </c>
      <c r="V44" s="63">
        <v>2</v>
      </c>
      <c r="W44" s="63">
        <v>292</v>
      </c>
      <c r="X44" s="63">
        <v>146</v>
      </c>
      <c r="Y44" s="63">
        <v>1250</v>
      </c>
      <c r="AJ44" s="67"/>
      <c r="AK44" s="59">
        <v>15</v>
      </c>
      <c r="AL44" s="59">
        <v>61.243902439024389</v>
      </c>
      <c r="AM44" s="59">
        <v>4.7560975609756113</v>
      </c>
      <c r="AN44" s="59">
        <v>0.84569654176200348</v>
      </c>
      <c r="AP44" s="59">
        <v>76.31578947368422</v>
      </c>
      <c r="AQ44" s="59">
        <v>66</v>
      </c>
      <c r="BA44" s="67"/>
    </row>
    <row r="45" spans="1:53" x14ac:dyDescent="0.25">
      <c r="A45" s="2">
        <v>44</v>
      </c>
      <c r="B45" s="2">
        <v>20</v>
      </c>
      <c r="C45" s="2">
        <v>18</v>
      </c>
      <c r="D45" s="2">
        <v>145</v>
      </c>
      <c r="E45" s="2">
        <v>195</v>
      </c>
      <c r="F45" s="2" t="s">
        <v>8</v>
      </c>
      <c r="G45" s="2">
        <v>55</v>
      </c>
      <c r="J45" s="75"/>
      <c r="K45" s="75"/>
      <c r="L45" s="75"/>
      <c r="N45" s="10" t="s">
        <v>27</v>
      </c>
      <c r="O45" s="12">
        <v>29.5</v>
      </c>
      <c r="P45" s="12">
        <v>111.5</v>
      </c>
      <c r="Q45" s="12">
        <v>161.5</v>
      </c>
      <c r="R45" s="12">
        <v>100.83333333333333</v>
      </c>
      <c r="U45" s="63">
        <v>25</v>
      </c>
      <c r="V45" s="63">
        <v>2</v>
      </c>
      <c r="W45" s="63">
        <v>294</v>
      </c>
      <c r="X45" s="63">
        <v>147</v>
      </c>
      <c r="Y45" s="63">
        <v>1250</v>
      </c>
      <c r="AJ45" s="67"/>
      <c r="AK45" s="59">
        <v>16</v>
      </c>
      <c r="AL45" s="59">
        <v>61.197560975609761</v>
      </c>
      <c r="AM45" s="59">
        <v>5.8024390243902388</v>
      </c>
      <c r="AN45" s="59">
        <v>1.031749780949643</v>
      </c>
      <c r="AP45" s="59">
        <v>81.578947368421055</v>
      </c>
      <c r="AQ45" s="59">
        <v>67</v>
      </c>
      <c r="BA45" s="67"/>
    </row>
    <row r="46" spans="1:53" x14ac:dyDescent="0.25">
      <c r="A46" s="2">
        <v>45</v>
      </c>
      <c r="B46" s="2">
        <v>21</v>
      </c>
      <c r="C46" s="2">
        <v>19</v>
      </c>
      <c r="D46" s="2">
        <v>146</v>
      </c>
      <c r="E46" s="2">
        <v>196</v>
      </c>
      <c r="F46" s="2" t="s">
        <v>9</v>
      </c>
      <c r="G46" s="2">
        <v>56</v>
      </c>
      <c r="N46" s="10" t="s">
        <v>28</v>
      </c>
      <c r="O46" s="12">
        <v>0.5</v>
      </c>
      <c r="P46" s="12">
        <v>0.5</v>
      </c>
      <c r="Q46" s="12">
        <v>0.5</v>
      </c>
      <c r="R46" s="12">
        <v>3553.3666666666672</v>
      </c>
      <c r="U46" s="63">
        <v>26</v>
      </c>
      <c r="V46" s="63">
        <v>2</v>
      </c>
      <c r="W46" s="63">
        <v>296</v>
      </c>
      <c r="X46" s="63">
        <v>148</v>
      </c>
      <c r="Y46" s="63">
        <v>1250</v>
      </c>
      <c r="AJ46" s="67"/>
      <c r="AK46" s="59">
        <v>17</v>
      </c>
      <c r="AL46" s="59">
        <v>61.151219512195127</v>
      </c>
      <c r="AM46" s="59">
        <v>6.8487804878048735</v>
      </c>
      <c r="AN46" s="59">
        <v>1.2178030201372838</v>
      </c>
      <c r="AP46" s="59">
        <v>86.842105263157904</v>
      </c>
      <c r="AQ46" s="59">
        <v>68</v>
      </c>
      <c r="BA46" s="67"/>
    </row>
    <row r="47" spans="1:53" x14ac:dyDescent="0.25">
      <c r="A47" s="2">
        <v>46</v>
      </c>
      <c r="B47" s="2">
        <v>22</v>
      </c>
      <c r="C47" s="2">
        <v>20</v>
      </c>
      <c r="D47" s="2">
        <v>147</v>
      </c>
      <c r="E47" s="2">
        <v>197</v>
      </c>
      <c r="F47" s="2" t="s">
        <v>7</v>
      </c>
      <c r="G47" s="2">
        <v>57</v>
      </c>
      <c r="N47" s="10"/>
      <c r="O47" s="12"/>
      <c r="P47" s="12"/>
      <c r="Q47" s="12"/>
      <c r="R47" s="12"/>
      <c r="U47" s="63"/>
      <c r="V47" s="63"/>
      <c r="W47" s="63"/>
      <c r="X47" s="63"/>
      <c r="Y47" s="63"/>
      <c r="AJ47" s="67"/>
      <c r="AK47" s="59">
        <v>18</v>
      </c>
      <c r="AL47" s="59">
        <v>61.104878048780492</v>
      </c>
      <c r="AM47" s="59">
        <v>7.8951219512195081</v>
      </c>
      <c r="AN47" s="59">
        <v>1.4038562593249246</v>
      </c>
      <c r="AP47" s="59">
        <v>92.105263157894754</v>
      </c>
      <c r="AQ47" s="59">
        <v>69</v>
      </c>
      <c r="BA47" s="67"/>
    </row>
    <row r="48" spans="1:53" x14ac:dyDescent="0.25">
      <c r="A48" s="2">
        <v>47</v>
      </c>
      <c r="B48" s="2">
        <v>23</v>
      </c>
      <c r="C48" s="2">
        <v>21</v>
      </c>
      <c r="D48" s="2">
        <v>148</v>
      </c>
      <c r="E48" s="2">
        <v>198</v>
      </c>
      <c r="F48" s="2" t="s">
        <v>8</v>
      </c>
      <c r="G48" s="2">
        <v>58</v>
      </c>
      <c r="N48" s="11">
        <v>33</v>
      </c>
      <c r="O48" s="13"/>
      <c r="P48" s="13"/>
      <c r="Q48" s="13"/>
      <c r="R48" s="13"/>
      <c r="U48" s="63">
        <v>102</v>
      </c>
      <c r="V48" s="63">
        <v>21</v>
      </c>
      <c r="W48" s="63">
        <v>2373</v>
      </c>
      <c r="X48" s="63">
        <v>113</v>
      </c>
      <c r="Y48" s="63">
        <v>38.5</v>
      </c>
      <c r="AJ48" s="67"/>
      <c r="AK48" s="59">
        <v>19</v>
      </c>
      <c r="AL48" s="59">
        <v>61.058536585365857</v>
      </c>
      <c r="AM48" s="59">
        <v>8.9414634146341427</v>
      </c>
      <c r="AN48" s="59">
        <v>1.5899094985125655</v>
      </c>
      <c r="AP48" s="59">
        <v>97.368421052631589</v>
      </c>
      <c r="AQ48" s="59">
        <v>70</v>
      </c>
      <c r="BA48" s="67"/>
    </row>
    <row r="49" spans="1:53" x14ac:dyDescent="0.25">
      <c r="A49" s="2">
        <v>48</v>
      </c>
      <c r="B49" s="2">
        <v>24</v>
      </c>
      <c r="C49" s="2">
        <v>22</v>
      </c>
      <c r="D49" s="2">
        <v>149</v>
      </c>
      <c r="E49" s="2">
        <v>199</v>
      </c>
      <c r="F49" s="2" t="s">
        <v>9</v>
      </c>
      <c r="G49" s="2">
        <v>59</v>
      </c>
      <c r="N49" s="10" t="s">
        <v>25</v>
      </c>
      <c r="O49" s="12">
        <v>2</v>
      </c>
      <c r="P49" s="12">
        <v>2</v>
      </c>
      <c r="Q49" s="12">
        <v>2</v>
      </c>
      <c r="R49" s="12">
        <v>6</v>
      </c>
      <c r="U49" s="63">
        <v>152</v>
      </c>
      <c r="V49" s="63">
        <v>21</v>
      </c>
      <c r="W49" s="63">
        <v>3423</v>
      </c>
      <c r="X49" s="63">
        <v>163</v>
      </c>
      <c r="Y49" s="63">
        <v>38.5</v>
      </c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</row>
    <row r="50" spans="1:53" x14ac:dyDescent="0.25">
      <c r="A50" s="2">
        <v>49</v>
      </c>
      <c r="B50" s="2">
        <v>25</v>
      </c>
      <c r="C50" s="2">
        <v>23</v>
      </c>
      <c r="D50" s="2">
        <v>100</v>
      </c>
      <c r="E50" s="2">
        <v>200</v>
      </c>
      <c r="F50" s="2" t="s">
        <v>7</v>
      </c>
      <c r="G50" s="2">
        <v>60</v>
      </c>
      <c r="N50" s="10" t="s">
        <v>26</v>
      </c>
      <c r="O50" s="12">
        <v>63</v>
      </c>
      <c r="P50" s="12">
        <v>227</v>
      </c>
      <c r="Q50" s="12">
        <v>327</v>
      </c>
      <c r="R50" s="12">
        <v>617</v>
      </c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</row>
    <row r="51" spans="1:53" x14ac:dyDescent="0.25">
      <c r="A51" s="2">
        <v>50</v>
      </c>
      <c r="B51" s="2">
        <v>26</v>
      </c>
      <c r="C51" s="2">
        <v>24</v>
      </c>
      <c r="D51" s="2">
        <v>101</v>
      </c>
      <c r="E51" s="2">
        <v>201</v>
      </c>
      <c r="F51" s="2" t="s">
        <v>8</v>
      </c>
      <c r="G51" s="2">
        <v>61</v>
      </c>
      <c r="N51" s="10" t="s">
        <v>27</v>
      </c>
      <c r="O51" s="12">
        <v>31.5</v>
      </c>
      <c r="P51" s="12">
        <v>113.5</v>
      </c>
      <c r="Q51" s="12">
        <v>163.5</v>
      </c>
      <c r="R51" s="12">
        <v>102.83333333333333</v>
      </c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</row>
    <row r="52" spans="1:53" ht="30" x14ac:dyDescent="0.45">
      <c r="A52" s="2">
        <v>51</v>
      </c>
      <c r="B52" s="2">
        <v>27</v>
      </c>
      <c r="C52" s="2">
        <v>25</v>
      </c>
      <c r="D52" s="2">
        <v>102</v>
      </c>
      <c r="E52" s="2">
        <v>202</v>
      </c>
      <c r="F52" s="2" t="s">
        <v>9</v>
      </c>
      <c r="G52" s="2">
        <v>62</v>
      </c>
      <c r="N52" s="10" t="s">
        <v>28</v>
      </c>
      <c r="O52" s="12">
        <v>0.5</v>
      </c>
      <c r="P52" s="12">
        <v>0.5</v>
      </c>
      <c r="Q52" s="12">
        <v>0.5</v>
      </c>
      <c r="R52" s="12">
        <v>3553.3666666666672</v>
      </c>
      <c r="U52" s="66" t="s">
        <v>29</v>
      </c>
      <c r="V52" s="66"/>
      <c r="W52" s="66"/>
      <c r="X52" s="66"/>
      <c r="Y52" s="66"/>
      <c r="Z52" s="66"/>
      <c r="AA52" s="66"/>
    </row>
    <row r="53" spans="1:53" x14ac:dyDescent="0.25">
      <c r="A53" s="2">
        <v>52</v>
      </c>
      <c r="B53" s="2">
        <v>28</v>
      </c>
      <c r="C53" s="2">
        <v>26</v>
      </c>
      <c r="D53" s="2">
        <v>103</v>
      </c>
      <c r="E53" s="2">
        <v>203</v>
      </c>
      <c r="F53" s="2" t="s">
        <v>7</v>
      </c>
      <c r="G53" s="2">
        <v>63</v>
      </c>
      <c r="N53" s="10"/>
      <c r="O53" s="12"/>
      <c r="P53" s="12"/>
      <c r="Q53" s="12"/>
      <c r="R53" s="12"/>
      <c r="U53" s="64" t="s">
        <v>30</v>
      </c>
      <c r="V53" s="64" t="s">
        <v>10</v>
      </c>
      <c r="W53" s="64" t="s">
        <v>11</v>
      </c>
      <c r="X53" s="64" t="s">
        <v>12</v>
      </c>
      <c r="Y53" s="64" t="s">
        <v>13</v>
      </c>
      <c r="Z53" s="64" t="s">
        <v>14</v>
      </c>
      <c r="AA53" s="64" t="s">
        <v>31</v>
      </c>
    </row>
    <row r="54" spans="1:53" x14ac:dyDescent="0.25">
      <c r="A54" s="2">
        <v>53</v>
      </c>
      <c r="B54" s="2">
        <v>29</v>
      </c>
      <c r="C54" s="2">
        <v>27</v>
      </c>
      <c r="D54" s="2">
        <v>104</v>
      </c>
      <c r="E54" s="2">
        <v>204</v>
      </c>
      <c r="F54" s="2" t="s">
        <v>8</v>
      </c>
      <c r="G54" s="2">
        <v>64</v>
      </c>
      <c r="N54" s="11">
        <v>35</v>
      </c>
      <c r="O54" s="13"/>
      <c r="P54" s="13"/>
      <c r="Q54" s="13"/>
      <c r="R54" s="13"/>
      <c r="U54" s="65" t="s">
        <v>58</v>
      </c>
      <c r="V54" s="65">
        <v>1540</v>
      </c>
      <c r="W54" s="65">
        <v>20</v>
      </c>
      <c r="X54" s="65">
        <v>77</v>
      </c>
      <c r="Y54" s="65">
        <v>65535</v>
      </c>
      <c r="Z54" s="65" t="e">
        <v>#DIV/0!</v>
      </c>
      <c r="AA54" s="65">
        <v>2.1241552129197361</v>
      </c>
    </row>
    <row r="55" spans="1:53" x14ac:dyDescent="0.25">
      <c r="A55" s="2">
        <v>54</v>
      </c>
      <c r="B55" s="2">
        <v>30</v>
      </c>
      <c r="C55" s="2">
        <v>28</v>
      </c>
      <c r="D55" s="2">
        <v>105</v>
      </c>
      <c r="E55" s="2">
        <v>205</v>
      </c>
      <c r="F55" s="2" t="s">
        <v>9</v>
      </c>
      <c r="G55" s="2">
        <v>65</v>
      </c>
      <c r="N55" s="10" t="s">
        <v>25</v>
      </c>
      <c r="O55" s="12">
        <v>2</v>
      </c>
      <c r="P55" s="12">
        <v>2</v>
      </c>
      <c r="Q55" s="12">
        <v>2</v>
      </c>
      <c r="R55" s="12">
        <v>6</v>
      </c>
      <c r="U55" s="65" t="s">
        <v>35</v>
      </c>
      <c r="V55" s="65">
        <v>26250</v>
      </c>
      <c r="W55" s="65">
        <v>1</v>
      </c>
      <c r="X55" s="65">
        <v>26250</v>
      </c>
      <c r="Y55" s="65">
        <v>65535</v>
      </c>
      <c r="Z55" s="65" t="e">
        <v>#DIV/0!</v>
      </c>
      <c r="AA55" s="65">
        <v>4.3512435033292896</v>
      </c>
    </row>
    <row r="56" spans="1:53" x14ac:dyDescent="0.25">
      <c r="A56" s="2">
        <v>55</v>
      </c>
      <c r="B56" s="2">
        <v>31</v>
      </c>
      <c r="C56" s="2">
        <v>29</v>
      </c>
      <c r="D56" s="2">
        <v>106</v>
      </c>
      <c r="E56" s="2">
        <v>206</v>
      </c>
      <c r="F56" s="2" t="s">
        <v>7</v>
      </c>
      <c r="G56" s="2">
        <v>66</v>
      </c>
      <c r="N56" s="10" t="s">
        <v>26</v>
      </c>
      <c r="O56" s="12">
        <v>37</v>
      </c>
      <c r="P56" s="12">
        <v>231</v>
      </c>
      <c r="Q56" s="12">
        <v>331</v>
      </c>
      <c r="R56" s="12">
        <v>599</v>
      </c>
      <c r="U56" s="65" t="s">
        <v>59</v>
      </c>
      <c r="V56" s="65">
        <v>0</v>
      </c>
      <c r="W56" s="65">
        <v>20</v>
      </c>
      <c r="X56" s="65">
        <v>0</v>
      </c>
      <c r="Y56" s="65"/>
      <c r="Z56" s="65"/>
      <c r="AA56" s="65"/>
    </row>
    <row r="57" spans="1:53" x14ac:dyDescent="0.25">
      <c r="A57" s="2">
        <v>56</v>
      </c>
      <c r="B57" s="2">
        <v>32</v>
      </c>
      <c r="C57" s="2">
        <v>30</v>
      </c>
      <c r="D57" s="2">
        <v>107</v>
      </c>
      <c r="E57" s="2">
        <v>207</v>
      </c>
      <c r="F57" s="2" t="s">
        <v>8</v>
      </c>
      <c r="G57" s="2">
        <v>67</v>
      </c>
      <c r="N57" s="10" t="s">
        <v>27</v>
      </c>
      <c r="O57" s="12">
        <v>18.5</v>
      </c>
      <c r="P57" s="12">
        <v>115.5</v>
      </c>
      <c r="Q57" s="12">
        <v>165.5</v>
      </c>
      <c r="R57" s="12">
        <v>99.833333333333329</v>
      </c>
      <c r="U57" s="65"/>
      <c r="V57" s="65"/>
      <c r="W57" s="65"/>
      <c r="X57" s="65"/>
      <c r="Y57" s="65"/>
      <c r="Z57" s="65"/>
      <c r="AA57" s="65"/>
    </row>
    <row r="58" spans="1:53" x14ac:dyDescent="0.25">
      <c r="A58" s="2">
        <v>57</v>
      </c>
      <c r="B58" s="2">
        <v>33</v>
      </c>
      <c r="C58" s="2">
        <v>31</v>
      </c>
      <c r="D58" s="2">
        <v>108</v>
      </c>
      <c r="E58" s="2">
        <v>208</v>
      </c>
      <c r="F58" s="2" t="s">
        <v>9</v>
      </c>
      <c r="G58" s="2">
        <v>68</v>
      </c>
      <c r="N58" s="10" t="s">
        <v>28</v>
      </c>
      <c r="O58" s="12">
        <v>0.5</v>
      </c>
      <c r="P58" s="12">
        <v>0.5</v>
      </c>
      <c r="Q58" s="12">
        <v>0.5</v>
      </c>
      <c r="R58" s="12">
        <v>4469.3666666666668</v>
      </c>
      <c r="U58" s="65" t="s">
        <v>32</v>
      </c>
      <c r="V58" s="65">
        <v>27790</v>
      </c>
      <c r="W58" s="65">
        <v>41</v>
      </c>
      <c r="X58" s="65"/>
      <c r="Y58" s="65"/>
      <c r="Z58" s="65"/>
      <c r="AA58" s="65"/>
    </row>
    <row r="59" spans="1:53" x14ac:dyDescent="0.25">
      <c r="A59" s="2">
        <v>58</v>
      </c>
      <c r="B59" s="2">
        <v>34</v>
      </c>
      <c r="C59" s="2">
        <v>32</v>
      </c>
      <c r="D59" s="2">
        <v>109</v>
      </c>
      <c r="E59" s="2">
        <v>209</v>
      </c>
      <c r="F59" s="2" t="s">
        <v>7</v>
      </c>
      <c r="G59" s="2">
        <v>69</v>
      </c>
      <c r="N59" s="10"/>
      <c r="O59" s="12"/>
      <c r="P59" s="12"/>
      <c r="Q59" s="12"/>
      <c r="R59" s="12"/>
    </row>
    <row r="60" spans="1:53" x14ac:dyDescent="0.25">
      <c r="A60" s="2">
        <v>59</v>
      </c>
      <c r="B60" s="2">
        <v>35</v>
      </c>
      <c r="C60" s="2">
        <v>18</v>
      </c>
      <c r="D60" s="2">
        <v>110</v>
      </c>
      <c r="E60" s="2">
        <v>210</v>
      </c>
      <c r="F60" s="2" t="s">
        <v>8</v>
      </c>
      <c r="G60" s="2">
        <v>70</v>
      </c>
      <c r="N60" s="11">
        <v>37</v>
      </c>
      <c r="O60" s="13"/>
      <c r="P60" s="13"/>
      <c r="Q60" s="13"/>
      <c r="R60" s="13"/>
    </row>
    <row r="61" spans="1:53" x14ac:dyDescent="0.25">
      <c r="A61" s="2">
        <v>60</v>
      </c>
      <c r="B61" s="2">
        <v>36</v>
      </c>
      <c r="C61" s="2">
        <v>19</v>
      </c>
      <c r="D61" s="2">
        <v>111</v>
      </c>
      <c r="E61" s="2">
        <v>211</v>
      </c>
      <c r="F61" s="2" t="s">
        <v>9</v>
      </c>
      <c r="G61" s="2">
        <v>71</v>
      </c>
      <c r="N61" s="10" t="s">
        <v>25</v>
      </c>
      <c r="O61" s="12">
        <v>2</v>
      </c>
      <c r="P61" s="12">
        <v>2</v>
      </c>
      <c r="Q61" s="12">
        <v>2</v>
      </c>
      <c r="R61" s="12">
        <v>6</v>
      </c>
    </row>
    <row r="62" spans="1:53" x14ac:dyDescent="0.25">
      <c r="A62" s="2">
        <v>61</v>
      </c>
      <c r="B62" s="2">
        <v>37</v>
      </c>
      <c r="C62" s="2">
        <v>20</v>
      </c>
      <c r="D62" s="2">
        <v>112</v>
      </c>
      <c r="E62" s="2">
        <v>212</v>
      </c>
      <c r="F62" s="2" t="s">
        <v>7</v>
      </c>
      <c r="G62" s="2">
        <v>72</v>
      </c>
      <c r="N62" s="10" t="s">
        <v>26</v>
      </c>
      <c r="O62" s="12">
        <v>41</v>
      </c>
      <c r="P62" s="12">
        <v>235</v>
      </c>
      <c r="Q62" s="12">
        <v>335</v>
      </c>
      <c r="R62" s="12">
        <v>611</v>
      </c>
    </row>
    <row r="63" spans="1:53" x14ac:dyDescent="0.25">
      <c r="A63" s="2">
        <v>62</v>
      </c>
      <c r="B63" s="2">
        <v>38</v>
      </c>
      <c r="C63" s="2">
        <v>21</v>
      </c>
      <c r="D63" s="2">
        <v>113</v>
      </c>
      <c r="E63" s="2">
        <v>213</v>
      </c>
      <c r="F63" s="2" t="s">
        <v>8</v>
      </c>
      <c r="G63" s="2">
        <v>73</v>
      </c>
      <c r="N63" s="10" t="s">
        <v>27</v>
      </c>
      <c r="O63" s="12">
        <v>20.5</v>
      </c>
      <c r="P63" s="12">
        <v>117.5</v>
      </c>
      <c r="Q63" s="12">
        <v>167.5</v>
      </c>
      <c r="R63" s="12">
        <v>101.83333333333333</v>
      </c>
    </row>
    <row r="64" spans="1:53" x14ac:dyDescent="0.25">
      <c r="A64" s="2">
        <v>63</v>
      </c>
      <c r="B64" s="2">
        <v>39</v>
      </c>
      <c r="C64" s="2">
        <v>22</v>
      </c>
      <c r="D64" s="2">
        <v>114</v>
      </c>
      <c r="E64" s="2">
        <v>214</v>
      </c>
      <c r="F64" s="2" t="s">
        <v>9</v>
      </c>
      <c r="G64" s="2">
        <v>74</v>
      </c>
      <c r="N64" s="10" t="s">
        <v>28</v>
      </c>
      <c r="O64" s="12">
        <v>0.5</v>
      </c>
      <c r="P64" s="12">
        <v>0.5</v>
      </c>
      <c r="Q64" s="12">
        <v>0.5</v>
      </c>
      <c r="R64" s="12">
        <v>4469.3666666666668</v>
      </c>
    </row>
    <row r="65" spans="1:24" x14ac:dyDescent="0.25">
      <c r="A65" s="2">
        <v>64</v>
      </c>
      <c r="B65" s="2">
        <v>40</v>
      </c>
      <c r="C65" s="2">
        <v>23</v>
      </c>
      <c r="D65" s="2">
        <v>115</v>
      </c>
      <c r="E65" s="2">
        <v>215</v>
      </c>
      <c r="F65" s="2" t="s">
        <v>7</v>
      </c>
      <c r="G65" s="2">
        <v>75</v>
      </c>
      <c r="N65" s="10"/>
      <c r="O65" s="12"/>
      <c r="P65" s="12"/>
      <c r="Q65" s="12"/>
      <c r="R65" s="12"/>
    </row>
    <row r="66" spans="1:24" x14ac:dyDescent="0.25">
      <c r="A66" s="2">
        <v>65</v>
      </c>
      <c r="B66" s="2">
        <v>41</v>
      </c>
      <c r="C66" s="2">
        <v>24</v>
      </c>
      <c r="D66" s="2">
        <v>116</v>
      </c>
      <c r="E66" s="2">
        <v>216</v>
      </c>
      <c r="F66" s="2" t="s">
        <v>8</v>
      </c>
      <c r="G66" s="2">
        <v>76</v>
      </c>
      <c r="N66" s="11">
        <v>39</v>
      </c>
      <c r="O66" s="13"/>
      <c r="P66" s="13"/>
      <c r="Q66" s="13"/>
      <c r="R66" s="13"/>
    </row>
    <row r="67" spans="1:24" x14ac:dyDescent="0.25">
      <c r="A67" s="2">
        <v>66</v>
      </c>
      <c r="B67" s="2">
        <v>42</v>
      </c>
      <c r="C67" s="2">
        <v>25</v>
      </c>
      <c r="D67" s="2">
        <v>117</v>
      </c>
      <c r="E67" s="2">
        <v>217</v>
      </c>
      <c r="F67" s="2" t="s">
        <v>9</v>
      </c>
      <c r="G67" s="2">
        <v>77</v>
      </c>
      <c r="N67" s="10" t="s">
        <v>25</v>
      </c>
      <c r="O67" s="12">
        <v>2</v>
      </c>
      <c r="P67" s="12">
        <v>2</v>
      </c>
      <c r="Q67" s="12">
        <v>2</v>
      </c>
      <c r="R67" s="12">
        <v>6</v>
      </c>
    </row>
    <row r="68" spans="1:24" x14ac:dyDescent="0.25">
      <c r="A68" s="2">
        <v>67</v>
      </c>
      <c r="B68" s="2">
        <v>43</v>
      </c>
      <c r="C68" s="2">
        <v>26</v>
      </c>
      <c r="D68" s="2">
        <v>118</v>
      </c>
      <c r="E68" s="2">
        <v>218</v>
      </c>
      <c r="F68" s="2" t="s">
        <v>7</v>
      </c>
      <c r="G68" s="2">
        <v>78</v>
      </c>
      <c r="N68" s="10" t="s">
        <v>26</v>
      </c>
      <c r="O68" s="12">
        <v>45</v>
      </c>
      <c r="P68" s="12">
        <v>239</v>
      </c>
      <c r="Q68" s="12">
        <v>339</v>
      </c>
      <c r="R68" s="12">
        <v>623</v>
      </c>
    </row>
    <row r="69" spans="1:24" x14ac:dyDescent="0.25">
      <c r="A69" s="2">
        <v>68</v>
      </c>
      <c r="B69" s="2">
        <v>44</v>
      </c>
      <c r="C69" s="2">
        <v>27</v>
      </c>
      <c r="D69" s="2">
        <v>119</v>
      </c>
      <c r="E69" s="2">
        <v>219</v>
      </c>
      <c r="F69" s="2" t="s">
        <v>8</v>
      </c>
      <c r="G69" s="2">
        <v>79</v>
      </c>
      <c r="N69" s="10" t="s">
        <v>27</v>
      </c>
      <c r="O69" s="12">
        <v>22.5</v>
      </c>
      <c r="P69" s="12">
        <v>119.5</v>
      </c>
      <c r="Q69" s="12">
        <v>169.5</v>
      </c>
      <c r="R69" s="12">
        <v>103.83333333333333</v>
      </c>
    </row>
    <row r="70" spans="1:24" x14ac:dyDescent="0.25">
      <c r="A70" s="2">
        <v>69</v>
      </c>
      <c r="B70" s="2">
        <v>45</v>
      </c>
      <c r="C70" s="2">
        <v>28</v>
      </c>
      <c r="D70" s="2">
        <v>120</v>
      </c>
      <c r="E70" s="2">
        <v>220</v>
      </c>
      <c r="F70" s="2" t="s">
        <v>9</v>
      </c>
      <c r="G70" s="2">
        <v>80</v>
      </c>
      <c r="N70" s="10" t="s">
        <v>28</v>
      </c>
      <c r="O70" s="12">
        <v>0.5</v>
      </c>
      <c r="P70" s="12">
        <v>0.5</v>
      </c>
      <c r="Q70" s="12">
        <v>0.5</v>
      </c>
      <c r="R70" s="12">
        <v>4469.3666666666668</v>
      </c>
    </row>
    <row r="71" spans="1:24" x14ac:dyDescent="0.25">
      <c r="A71" s="2">
        <v>70</v>
      </c>
      <c r="B71" s="2">
        <v>46</v>
      </c>
      <c r="C71" s="2">
        <v>29</v>
      </c>
      <c r="D71" s="2">
        <v>121</v>
      </c>
      <c r="E71" s="2">
        <v>221</v>
      </c>
      <c r="F71" s="2" t="s">
        <v>7</v>
      </c>
      <c r="G71" s="2">
        <v>81</v>
      </c>
      <c r="N71" s="10"/>
      <c r="O71" s="12"/>
      <c r="P71" s="12"/>
      <c r="Q71" s="12"/>
      <c r="R71" s="12"/>
    </row>
    <row r="72" spans="1:24" x14ac:dyDescent="0.25">
      <c r="A72" s="2">
        <v>71</v>
      </c>
      <c r="B72" s="2">
        <v>47</v>
      </c>
      <c r="C72" s="2">
        <v>30</v>
      </c>
      <c r="D72" s="2">
        <v>122</v>
      </c>
      <c r="E72" s="2">
        <v>222</v>
      </c>
      <c r="F72" s="2" t="s">
        <v>8</v>
      </c>
      <c r="G72" s="2">
        <v>82</v>
      </c>
      <c r="N72" s="11" t="s">
        <v>32</v>
      </c>
      <c r="O72" s="13"/>
      <c r="P72" s="13"/>
      <c r="Q72" s="13"/>
      <c r="R72" s="13"/>
      <c r="S72" s="9"/>
      <c r="T72" s="9"/>
      <c r="U72" s="9"/>
      <c r="V72" s="9"/>
      <c r="W72" s="9"/>
      <c r="X72" s="9"/>
    </row>
    <row r="73" spans="1:24" x14ac:dyDescent="0.25">
      <c r="A73" s="2">
        <v>72</v>
      </c>
      <c r="B73" s="2">
        <v>48</v>
      </c>
      <c r="C73" s="2">
        <v>31</v>
      </c>
      <c r="D73" s="2">
        <v>123</v>
      </c>
      <c r="E73" s="2">
        <v>223</v>
      </c>
      <c r="F73" s="2" t="s">
        <v>9</v>
      </c>
      <c r="G73" s="2">
        <v>83</v>
      </c>
      <c r="N73" s="10" t="s">
        <v>25</v>
      </c>
      <c r="O73" s="12">
        <v>18</v>
      </c>
      <c r="P73" s="12">
        <v>18</v>
      </c>
      <c r="Q73" s="12">
        <v>18</v>
      </c>
      <c r="R73" s="12"/>
    </row>
    <row r="74" spans="1:24" x14ac:dyDescent="0.25">
      <c r="A74" s="2">
        <v>73</v>
      </c>
      <c r="B74" s="2">
        <v>49</v>
      </c>
      <c r="C74" s="2">
        <v>32</v>
      </c>
      <c r="D74" s="2">
        <v>124</v>
      </c>
      <c r="E74" s="2">
        <v>224</v>
      </c>
      <c r="F74" s="2" t="s">
        <v>7</v>
      </c>
      <c r="G74" s="2">
        <v>84</v>
      </c>
      <c r="N74" s="10" t="s">
        <v>26</v>
      </c>
      <c r="O74" s="12">
        <v>441</v>
      </c>
      <c r="P74" s="12">
        <v>2007</v>
      </c>
      <c r="Q74" s="12">
        <v>2907</v>
      </c>
      <c r="R74" s="12"/>
    </row>
    <row r="75" spans="1:24" x14ac:dyDescent="0.25">
      <c r="A75" s="2">
        <v>74</v>
      </c>
      <c r="B75" s="2">
        <v>50</v>
      </c>
      <c r="C75" s="2">
        <v>18</v>
      </c>
      <c r="D75" s="2">
        <v>125</v>
      </c>
      <c r="E75" s="2">
        <v>225</v>
      </c>
      <c r="F75" s="2" t="s">
        <v>8</v>
      </c>
      <c r="G75" s="2">
        <v>85</v>
      </c>
      <c r="N75" s="10" t="s">
        <v>27</v>
      </c>
      <c r="O75" s="12">
        <v>24.5</v>
      </c>
      <c r="P75" s="12">
        <v>111.5</v>
      </c>
      <c r="Q75" s="12">
        <v>161.5</v>
      </c>
      <c r="R75" s="12"/>
    </row>
    <row r="76" spans="1:24" x14ac:dyDescent="0.25">
      <c r="A76" s="2">
        <v>75</v>
      </c>
      <c r="B76" s="2">
        <v>51</v>
      </c>
      <c r="C76" s="2">
        <v>19</v>
      </c>
      <c r="D76" s="2">
        <v>126</v>
      </c>
      <c r="E76" s="2">
        <v>226</v>
      </c>
      <c r="F76" s="2" t="s">
        <v>9</v>
      </c>
      <c r="G76" s="2">
        <v>86</v>
      </c>
      <c r="N76" s="10" t="s">
        <v>28</v>
      </c>
      <c r="O76" s="12">
        <v>17.911764705882351</v>
      </c>
      <c r="P76" s="12">
        <v>28.5</v>
      </c>
      <c r="Q76" s="12">
        <v>28.5</v>
      </c>
      <c r="R76" s="12"/>
    </row>
    <row r="77" spans="1:24" x14ac:dyDescent="0.25">
      <c r="A77" s="2">
        <v>76</v>
      </c>
      <c r="B77" s="2">
        <v>52</v>
      </c>
      <c r="C77" s="2">
        <v>20</v>
      </c>
      <c r="D77" s="2">
        <v>127</v>
      </c>
      <c r="E77" s="2">
        <v>227</v>
      </c>
      <c r="F77" s="2" t="s">
        <v>7</v>
      </c>
      <c r="G77" s="2">
        <v>87</v>
      </c>
      <c r="N77" s="10"/>
      <c r="O77" s="12"/>
      <c r="P77" s="12"/>
      <c r="Q77" s="12"/>
      <c r="R77" s="12"/>
    </row>
    <row r="78" spans="1:24" x14ac:dyDescent="0.25">
      <c r="A78" s="2">
        <v>77</v>
      </c>
      <c r="B78" s="2">
        <v>53</v>
      </c>
      <c r="C78" s="2">
        <v>21</v>
      </c>
      <c r="D78" s="2">
        <v>128</v>
      </c>
      <c r="E78" s="2">
        <v>228</v>
      </c>
      <c r="F78" s="2" t="s">
        <v>8</v>
      </c>
      <c r="G78" s="2">
        <v>88</v>
      </c>
    </row>
    <row r="79" spans="1:24" x14ac:dyDescent="0.25">
      <c r="A79" s="2">
        <v>78</v>
      </c>
      <c r="B79" s="2">
        <v>54</v>
      </c>
      <c r="C79" s="2">
        <v>22</v>
      </c>
      <c r="D79" s="2">
        <v>129</v>
      </c>
      <c r="E79" s="2">
        <v>229</v>
      </c>
      <c r="F79" s="2" t="s">
        <v>9</v>
      </c>
      <c r="G79" s="2">
        <v>89</v>
      </c>
      <c r="N79" s="33" t="s">
        <v>29</v>
      </c>
      <c r="O79" s="34"/>
      <c r="P79" s="34"/>
      <c r="Q79" s="34"/>
      <c r="R79" s="34"/>
      <c r="S79" s="34"/>
      <c r="T79" s="35"/>
    </row>
    <row r="80" spans="1:24" x14ac:dyDescent="0.25">
      <c r="A80" s="2">
        <v>79</v>
      </c>
      <c r="B80" s="2">
        <v>55</v>
      </c>
      <c r="C80" s="2">
        <v>23</v>
      </c>
      <c r="D80" s="2">
        <v>130</v>
      </c>
      <c r="E80" s="2">
        <v>150</v>
      </c>
      <c r="F80" s="2" t="s">
        <v>7</v>
      </c>
      <c r="G80" s="2">
        <v>50</v>
      </c>
      <c r="N80" s="14" t="s">
        <v>30</v>
      </c>
      <c r="O80" s="14" t="s">
        <v>10</v>
      </c>
      <c r="P80" s="14" t="s">
        <v>11</v>
      </c>
      <c r="Q80" s="14" t="s">
        <v>12</v>
      </c>
      <c r="R80" s="14" t="s">
        <v>13</v>
      </c>
      <c r="S80" s="14" t="s">
        <v>14</v>
      </c>
      <c r="T80" s="14" t="s">
        <v>31</v>
      </c>
    </row>
    <row r="81" spans="1:20" x14ac:dyDescent="0.25">
      <c r="A81" s="2">
        <v>80</v>
      </c>
      <c r="B81" s="2">
        <v>56</v>
      </c>
      <c r="C81" s="2">
        <v>24</v>
      </c>
      <c r="D81" s="2">
        <v>131</v>
      </c>
      <c r="E81" s="2">
        <v>151</v>
      </c>
      <c r="F81" s="2" t="s">
        <v>8</v>
      </c>
      <c r="G81" s="2">
        <v>51</v>
      </c>
      <c r="N81" s="12" t="s">
        <v>34</v>
      </c>
      <c r="O81" s="12">
        <v>660</v>
      </c>
      <c r="P81" s="12">
        <v>8</v>
      </c>
      <c r="Q81" s="12">
        <v>82.5</v>
      </c>
      <c r="R81" s="12">
        <v>165</v>
      </c>
      <c r="S81" s="12">
        <v>6.9733033187569387E-21</v>
      </c>
      <c r="T81" s="12">
        <v>2.3053131774274283</v>
      </c>
    </row>
    <row r="82" spans="1:20" x14ac:dyDescent="0.25">
      <c r="A82" s="2">
        <v>81</v>
      </c>
      <c r="B82" s="2">
        <v>57</v>
      </c>
      <c r="C82" s="2">
        <v>25</v>
      </c>
      <c r="D82" s="2">
        <v>132</v>
      </c>
      <c r="E82" s="2">
        <v>152</v>
      </c>
      <c r="F82" s="2" t="s">
        <v>9</v>
      </c>
      <c r="G82" s="2">
        <v>52</v>
      </c>
      <c r="N82" s="12" t="s">
        <v>35</v>
      </c>
      <c r="O82" s="12">
        <v>173028.00000000003</v>
      </c>
      <c r="P82" s="12">
        <v>2</v>
      </c>
      <c r="Q82" s="12">
        <v>86514.000000000015</v>
      </c>
      <c r="R82" s="12">
        <v>173028.00000000003</v>
      </c>
      <c r="S82" s="12">
        <v>3.5032990779886582E-56</v>
      </c>
      <c r="T82" s="12">
        <v>3.3541308285291991</v>
      </c>
    </row>
    <row r="83" spans="1:20" x14ac:dyDescent="0.25">
      <c r="A83" s="2">
        <v>82</v>
      </c>
      <c r="B83" s="2">
        <v>58</v>
      </c>
      <c r="C83" s="2">
        <v>26</v>
      </c>
      <c r="D83" s="2">
        <v>133</v>
      </c>
      <c r="E83" s="2">
        <v>153</v>
      </c>
      <c r="F83" s="2" t="s">
        <v>7</v>
      </c>
      <c r="G83" s="2">
        <v>53</v>
      </c>
      <c r="N83" s="12" t="s">
        <v>36</v>
      </c>
      <c r="O83" s="12">
        <v>600</v>
      </c>
      <c r="P83" s="12">
        <v>16</v>
      </c>
      <c r="Q83" s="12">
        <v>37.5</v>
      </c>
      <c r="R83" s="12">
        <v>75</v>
      </c>
      <c r="S83" s="12">
        <v>3.4661725812083176E-18</v>
      </c>
      <c r="T83" s="12">
        <v>2.0357904427594149</v>
      </c>
    </row>
    <row r="84" spans="1:20" x14ac:dyDescent="0.25">
      <c r="A84" s="2">
        <v>83</v>
      </c>
      <c r="B84" s="2">
        <v>59</v>
      </c>
      <c r="C84" s="2">
        <v>27</v>
      </c>
      <c r="D84" s="2">
        <v>134</v>
      </c>
      <c r="E84" s="2">
        <v>154</v>
      </c>
      <c r="F84" s="2" t="s">
        <v>8</v>
      </c>
      <c r="G84" s="2">
        <v>54</v>
      </c>
      <c r="N84" s="12" t="s">
        <v>37</v>
      </c>
      <c r="O84" s="12">
        <v>13.5</v>
      </c>
      <c r="P84" s="12">
        <v>27</v>
      </c>
      <c r="Q84" s="12">
        <v>0.5</v>
      </c>
      <c r="R84" s="12"/>
      <c r="S84" s="12"/>
      <c r="T84" s="12"/>
    </row>
    <row r="85" spans="1:20" x14ac:dyDescent="0.25">
      <c r="A85" s="2">
        <v>84</v>
      </c>
      <c r="B85" s="2">
        <v>60</v>
      </c>
      <c r="C85" s="2">
        <v>28</v>
      </c>
      <c r="D85" s="2">
        <v>135</v>
      </c>
      <c r="E85" s="2">
        <v>155</v>
      </c>
      <c r="F85" s="2" t="s">
        <v>9</v>
      </c>
      <c r="G85" s="2">
        <v>55</v>
      </c>
      <c r="N85" s="12"/>
      <c r="O85" s="12"/>
      <c r="P85" s="12"/>
      <c r="Q85" s="12"/>
      <c r="R85" s="12"/>
      <c r="S85" s="12"/>
      <c r="T85" s="12"/>
    </row>
    <row r="86" spans="1:20" x14ac:dyDescent="0.25">
      <c r="A86" s="2">
        <v>85</v>
      </c>
      <c r="B86" s="2">
        <v>61</v>
      </c>
      <c r="C86" s="2">
        <v>29</v>
      </c>
      <c r="D86" s="2">
        <v>136</v>
      </c>
      <c r="E86" s="2">
        <v>156</v>
      </c>
      <c r="F86" s="2" t="s">
        <v>7</v>
      </c>
      <c r="G86" s="2">
        <v>56</v>
      </c>
      <c r="N86" s="12" t="s">
        <v>32</v>
      </c>
      <c r="O86" s="12">
        <v>174301.50000000003</v>
      </c>
      <c r="P86" s="12">
        <v>53</v>
      </c>
      <c r="Q86" s="12"/>
      <c r="R86" s="12"/>
      <c r="S86" s="12"/>
      <c r="T86" s="12"/>
    </row>
    <row r="87" spans="1:20" x14ac:dyDescent="0.25">
      <c r="A87" s="2">
        <v>86</v>
      </c>
      <c r="B87" s="2">
        <v>62</v>
      </c>
      <c r="C87" s="2">
        <v>30</v>
      </c>
      <c r="D87" s="2">
        <v>137</v>
      </c>
      <c r="E87" s="2">
        <v>157</v>
      </c>
      <c r="F87" s="2" t="s">
        <v>8</v>
      </c>
      <c r="G87" s="2">
        <v>57</v>
      </c>
    </row>
    <row r="88" spans="1:20" x14ac:dyDescent="0.25">
      <c r="A88" s="2">
        <v>87</v>
      </c>
      <c r="B88" s="2">
        <v>63</v>
      </c>
      <c r="C88" s="2">
        <v>31</v>
      </c>
      <c r="D88" s="2">
        <v>138</v>
      </c>
      <c r="E88" s="2">
        <v>158</v>
      </c>
      <c r="F88" s="2" t="s">
        <v>9</v>
      </c>
      <c r="G88" s="2">
        <v>58</v>
      </c>
    </row>
    <row r="89" spans="1:20" x14ac:dyDescent="0.25">
      <c r="A89" s="2">
        <v>88</v>
      </c>
      <c r="B89" s="2">
        <v>64</v>
      </c>
      <c r="C89" s="2">
        <v>32</v>
      </c>
      <c r="D89" s="2">
        <v>139</v>
      </c>
      <c r="E89" s="2">
        <v>159</v>
      </c>
      <c r="F89" s="2" t="s">
        <v>7</v>
      </c>
      <c r="G89" s="2">
        <v>59</v>
      </c>
    </row>
    <row r="90" spans="1:20" x14ac:dyDescent="0.25">
      <c r="A90" s="2">
        <v>89</v>
      </c>
      <c r="B90" s="2">
        <v>20</v>
      </c>
      <c r="C90" s="2">
        <v>18</v>
      </c>
      <c r="D90" s="2">
        <v>140</v>
      </c>
      <c r="E90" s="2">
        <v>160</v>
      </c>
      <c r="F90" s="2" t="s">
        <v>8</v>
      </c>
      <c r="G90" s="2">
        <v>60</v>
      </c>
    </row>
    <row r="91" spans="1:20" x14ac:dyDescent="0.25">
      <c r="A91" s="2">
        <v>90</v>
      </c>
      <c r="B91" s="2">
        <v>21</v>
      </c>
      <c r="C91" s="2">
        <v>19</v>
      </c>
      <c r="D91" s="2">
        <v>141</v>
      </c>
      <c r="E91" s="2">
        <v>161</v>
      </c>
      <c r="F91" s="2" t="s">
        <v>9</v>
      </c>
      <c r="G91" s="2">
        <v>61</v>
      </c>
    </row>
    <row r="92" spans="1:20" x14ac:dyDescent="0.25">
      <c r="A92" s="2">
        <v>91</v>
      </c>
      <c r="B92" s="2">
        <v>22</v>
      </c>
      <c r="C92" s="2">
        <v>20</v>
      </c>
      <c r="D92" s="2">
        <v>142</v>
      </c>
      <c r="E92" s="2">
        <v>162</v>
      </c>
      <c r="F92" s="2" t="s">
        <v>7</v>
      </c>
      <c r="G92" s="2">
        <v>62</v>
      </c>
    </row>
    <row r="93" spans="1:20" x14ac:dyDescent="0.25">
      <c r="A93" s="2">
        <v>92</v>
      </c>
      <c r="B93" s="2">
        <v>23</v>
      </c>
      <c r="C93" s="2">
        <v>21</v>
      </c>
      <c r="D93" s="2">
        <v>143</v>
      </c>
      <c r="E93" s="2">
        <v>163</v>
      </c>
      <c r="F93" s="2" t="s">
        <v>8</v>
      </c>
      <c r="G93" s="2">
        <v>63</v>
      </c>
    </row>
    <row r="94" spans="1:20" x14ac:dyDescent="0.25">
      <c r="A94" s="2">
        <v>93</v>
      </c>
      <c r="B94" s="2">
        <v>24</v>
      </c>
      <c r="C94" s="2">
        <v>22</v>
      </c>
      <c r="D94" s="2">
        <v>144</v>
      </c>
      <c r="E94" s="2">
        <v>164</v>
      </c>
      <c r="F94" s="2" t="s">
        <v>9</v>
      </c>
      <c r="G94" s="2">
        <v>64</v>
      </c>
    </row>
    <row r="95" spans="1:20" x14ac:dyDescent="0.25">
      <c r="A95" s="2">
        <v>94</v>
      </c>
      <c r="B95" s="2">
        <v>25</v>
      </c>
      <c r="C95" s="2">
        <v>23</v>
      </c>
      <c r="D95" s="2">
        <v>145</v>
      </c>
      <c r="E95" s="2">
        <v>165</v>
      </c>
      <c r="F95" s="2" t="s">
        <v>7</v>
      </c>
      <c r="G95" s="2">
        <v>65</v>
      </c>
    </row>
    <row r="96" spans="1:20" x14ac:dyDescent="0.25">
      <c r="A96" s="2">
        <v>95</v>
      </c>
      <c r="B96" s="2">
        <v>26</v>
      </c>
      <c r="C96" s="2">
        <v>24</v>
      </c>
      <c r="D96" s="2">
        <v>146</v>
      </c>
      <c r="E96" s="2">
        <v>166</v>
      </c>
      <c r="F96" s="2" t="s">
        <v>8</v>
      </c>
      <c r="G96" s="2">
        <v>66</v>
      </c>
    </row>
    <row r="97" spans="1:7" x14ac:dyDescent="0.25">
      <c r="A97" s="2">
        <v>96</v>
      </c>
      <c r="B97" s="2">
        <v>27</v>
      </c>
      <c r="C97" s="2">
        <v>25</v>
      </c>
      <c r="D97" s="2">
        <v>147</v>
      </c>
      <c r="E97" s="2">
        <v>167</v>
      </c>
      <c r="F97" s="2" t="s">
        <v>9</v>
      </c>
      <c r="G97" s="2">
        <v>67</v>
      </c>
    </row>
    <row r="98" spans="1:7" x14ac:dyDescent="0.25">
      <c r="A98" s="2">
        <v>97</v>
      </c>
      <c r="B98" s="2">
        <v>28</v>
      </c>
      <c r="C98" s="2">
        <v>26</v>
      </c>
      <c r="D98" s="2">
        <v>148</v>
      </c>
      <c r="E98" s="2">
        <v>168</v>
      </c>
      <c r="F98" s="2" t="s">
        <v>7</v>
      </c>
      <c r="G98" s="2">
        <v>68</v>
      </c>
    </row>
    <row r="99" spans="1:7" x14ac:dyDescent="0.25">
      <c r="A99" s="2">
        <v>98</v>
      </c>
      <c r="B99" s="2">
        <v>29</v>
      </c>
      <c r="C99" s="2">
        <v>27</v>
      </c>
      <c r="D99" s="2">
        <v>149</v>
      </c>
      <c r="E99" s="2">
        <v>169</v>
      </c>
      <c r="F99" s="2" t="s">
        <v>8</v>
      </c>
      <c r="G99" s="2">
        <v>69</v>
      </c>
    </row>
    <row r="100" spans="1:7" x14ac:dyDescent="0.25">
      <c r="A100" s="2">
        <v>99</v>
      </c>
      <c r="B100" s="2">
        <v>30</v>
      </c>
      <c r="C100" s="2">
        <v>28</v>
      </c>
      <c r="D100" s="2">
        <v>100</v>
      </c>
      <c r="E100" s="2">
        <v>170</v>
      </c>
      <c r="F100" s="2" t="s">
        <v>9</v>
      </c>
      <c r="G100" s="2">
        <v>70</v>
      </c>
    </row>
    <row r="101" spans="1:7" x14ac:dyDescent="0.25">
      <c r="A101" s="2">
        <v>100</v>
      </c>
      <c r="B101" s="2">
        <v>31</v>
      </c>
      <c r="C101" s="2">
        <v>29</v>
      </c>
      <c r="D101" s="2">
        <v>101</v>
      </c>
      <c r="E101" s="2">
        <v>171</v>
      </c>
      <c r="F101" s="2" t="s">
        <v>7</v>
      </c>
      <c r="G101" s="2">
        <v>71</v>
      </c>
    </row>
    <row r="102" spans="1:7" x14ac:dyDescent="0.25">
      <c r="A102" s="2">
        <v>101</v>
      </c>
      <c r="B102" s="2">
        <v>32</v>
      </c>
      <c r="C102" s="2">
        <v>30</v>
      </c>
      <c r="D102" s="2">
        <v>102</v>
      </c>
      <c r="E102" s="2">
        <v>172</v>
      </c>
      <c r="F102" s="2" t="s">
        <v>8</v>
      </c>
      <c r="G102" s="2">
        <v>72</v>
      </c>
    </row>
    <row r="103" spans="1:7" x14ac:dyDescent="0.25">
      <c r="A103" s="2">
        <v>102</v>
      </c>
      <c r="B103" s="2">
        <v>33</v>
      </c>
      <c r="C103" s="2">
        <v>31</v>
      </c>
      <c r="D103" s="2">
        <v>103</v>
      </c>
      <c r="E103" s="2">
        <v>173</v>
      </c>
      <c r="F103" s="2" t="s">
        <v>9</v>
      </c>
      <c r="G103" s="2">
        <v>73</v>
      </c>
    </row>
    <row r="104" spans="1:7" x14ac:dyDescent="0.25">
      <c r="A104" s="2">
        <v>103</v>
      </c>
      <c r="B104" s="2">
        <v>34</v>
      </c>
      <c r="C104" s="2">
        <v>32</v>
      </c>
      <c r="D104" s="2">
        <v>104</v>
      </c>
      <c r="E104" s="2">
        <v>174</v>
      </c>
      <c r="F104" s="2" t="s">
        <v>7</v>
      </c>
      <c r="G104" s="2">
        <v>74</v>
      </c>
    </row>
    <row r="105" spans="1:7" x14ac:dyDescent="0.25">
      <c r="A105" s="2">
        <v>104</v>
      </c>
      <c r="B105" s="2">
        <v>35</v>
      </c>
      <c r="C105" s="2">
        <v>18</v>
      </c>
      <c r="D105" s="2">
        <v>105</v>
      </c>
      <c r="E105" s="2">
        <v>175</v>
      </c>
      <c r="F105" s="2" t="s">
        <v>8</v>
      </c>
      <c r="G105" s="2">
        <v>75</v>
      </c>
    </row>
    <row r="106" spans="1:7" x14ac:dyDescent="0.25">
      <c r="A106" s="2">
        <v>105</v>
      </c>
      <c r="B106" s="2">
        <v>36</v>
      </c>
      <c r="C106" s="2">
        <v>19</v>
      </c>
      <c r="D106" s="2">
        <v>106</v>
      </c>
      <c r="E106" s="2">
        <v>176</v>
      </c>
      <c r="F106" s="2" t="s">
        <v>9</v>
      </c>
      <c r="G106" s="2">
        <v>76</v>
      </c>
    </row>
    <row r="107" spans="1:7" x14ac:dyDescent="0.25">
      <c r="A107" s="2">
        <v>106</v>
      </c>
      <c r="B107" s="2">
        <v>37</v>
      </c>
      <c r="C107" s="2">
        <v>20</v>
      </c>
      <c r="D107" s="2">
        <v>107</v>
      </c>
      <c r="E107" s="2">
        <v>177</v>
      </c>
      <c r="F107" s="2" t="s">
        <v>7</v>
      </c>
      <c r="G107" s="2">
        <v>77</v>
      </c>
    </row>
    <row r="108" spans="1:7" x14ac:dyDescent="0.25">
      <c r="A108" s="2">
        <v>107</v>
      </c>
      <c r="B108" s="2">
        <v>38</v>
      </c>
      <c r="C108" s="2">
        <v>21</v>
      </c>
      <c r="D108" s="2">
        <v>108</v>
      </c>
      <c r="E108" s="2">
        <v>178</v>
      </c>
      <c r="F108" s="2" t="s">
        <v>8</v>
      </c>
      <c r="G108" s="2">
        <v>78</v>
      </c>
    </row>
    <row r="109" spans="1:7" x14ac:dyDescent="0.25">
      <c r="A109" s="2">
        <v>108</v>
      </c>
      <c r="B109" s="2">
        <v>39</v>
      </c>
      <c r="C109" s="2">
        <v>22</v>
      </c>
      <c r="D109" s="2">
        <v>109</v>
      </c>
      <c r="E109" s="2">
        <v>179</v>
      </c>
      <c r="F109" s="2" t="s">
        <v>9</v>
      </c>
      <c r="G109" s="2">
        <v>79</v>
      </c>
    </row>
    <row r="110" spans="1:7" x14ac:dyDescent="0.25">
      <c r="A110" s="2">
        <v>109</v>
      </c>
      <c r="B110" s="2">
        <v>40</v>
      </c>
      <c r="C110" s="2">
        <v>23</v>
      </c>
      <c r="D110" s="2">
        <v>110</v>
      </c>
      <c r="E110" s="2">
        <v>180</v>
      </c>
      <c r="F110" s="2" t="s">
        <v>7</v>
      </c>
      <c r="G110" s="2">
        <v>80</v>
      </c>
    </row>
    <row r="111" spans="1:7" x14ac:dyDescent="0.25">
      <c r="A111" s="2">
        <v>110</v>
      </c>
      <c r="B111" s="2">
        <v>41</v>
      </c>
      <c r="C111" s="2">
        <v>24</v>
      </c>
      <c r="D111" s="2">
        <v>111</v>
      </c>
      <c r="E111" s="2">
        <v>181</v>
      </c>
      <c r="F111" s="2" t="s">
        <v>8</v>
      </c>
      <c r="G111" s="2">
        <v>81</v>
      </c>
    </row>
    <row r="112" spans="1:7" x14ac:dyDescent="0.25">
      <c r="A112" s="2">
        <v>111</v>
      </c>
      <c r="B112" s="2">
        <v>42</v>
      </c>
      <c r="C112" s="2">
        <v>25</v>
      </c>
      <c r="D112" s="2">
        <v>112</v>
      </c>
      <c r="E112" s="2">
        <v>182</v>
      </c>
      <c r="F112" s="2" t="s">
        <v>9</v>
      </c>
      <c r="G112" s="2">
        <v>82</v>
      </c>
    </row>
    <row r="113" spans="1:7" x14ac:dyDescent="0.25">
      <c r="A113" s="2">
        <v>112</v>
      </c>
      <c r="B113" s="2">
        <v>43</v>
      </c>
      <c r="C113" s="2">
        <v>26</v>
      </c>
      <c r="D113" s="2">
        <v>113</v>
      </c>
      <c r="E113" s="2">
        <v>183</v>
      </c>
      <c r="F113" s="2" t="s">
        <v>7</v>
      </c>
      <c r="G113" s="2">
        <v>83</v>
      </c>
    </row>
    <row r="114" spans="1:7" x14ac:dyDescent="0.25">
      <c r="A114" s="2">
        <v>113</v>
      </c>
      <c r="B114" s="2">
        <v>44</v>
      </c>
      <c r="C114" s="2">
        <v>27</v>
      </c>
      <c r="D114" s="2">
        <v>114</v>
      </c>
      <c r="E114" s="2">
        <v>184</v>
      </c>
      <c r="F114" s="2" t="s">
        <v>8</v>
      </c>
      <c r="G114" s="2">
        <v>84</v>
      </c>
    </row>
    <row r="115" spans="1:7" x14ac:dyDescent="0.25">
      <c r="A115" s="2">
        <v>114</v>
      </c>
      <c r="B115" s="2">
        <v>45</v>
      </c>
      <c r="C115" s="2">
        <v>28</v>
      </c>
      <c r="D115" s="2">
        <v>115</v>
      </c>
      <c r="E115" s="2">
        <v>185</v>
      </c>
      <c r="F115" s="2" t="s">
        <v>9</v>
      </c>
      <c r="G115" s="2">
        <v>85</v>
      </c>
    </row>
    <row r="116" spans="1:7" x14ac:dyDescent="0.25">
      <c r="A116" s="2">
        <v>115</v>
      </c>
      <c r="B116" s="2">
        <v>46</v>
      </c>
      <c r="C116" s="2">
        <v>29</v>
      </c>
      <c r="D116" s="2">
        <v>116</v>
      </c>
      <c r="E116" s="2">
        <v>186</v>
      </c>
      <c r="F116" s="2" t="s">
        <v>7</v>
      </c>
      <c r="G116" s="2">
        <v>86</v>
      </c>
    </row>
    <row r="117" spans="1:7" x14ac:dyDescent="0.25">
      <c r="A117" s="2">
        <v>116</v>
      </c>
      <c r="B117" s="2">
        <v>47</v>
      </c>
      <c r="C117" s="2">
        <v>30</v>
      </c>
      <c r="D117" s="2">
        <v>117</v>
      </c>
      <c r="E117" s="2">
        <v>187</v>
      </c>
      <c r="F117" s="2" t="s">
        <v>8</v>
      </c>
      <c r="G117" s="2">
        <v>87</v>
      </c>
    </row>
    <row r="118" spans="1:7" x14ac:dyDescent="0.25">
      <c r="A118" s="2">
        <v>117</v>
      </c>
      <c r="B118" s="2">
        <v>48</v>
      </c>
      <c r="C118" s="2">
        <v>31</v>
      </c>
      <c r="D118" s="2">
        <v>118</v>
      </c>
      <c r="E118" s="2">
        <v>188</v>
      </c>
      <c r="F118" s="2" t="s">
        <v>9</v>
      </c>
      <c r="G118" s="2">
        <v>88</v>
      </c>
    </row>
    <row r="119" spans="1:7" x14ac:dyDescent="0.25">
      <c r="A119" s="2">
        <v>118</v>
      </c>
      <c r="B119" s="2">
        <v>49</v>
      </c>
      <c r="C119" s="2">
        <v>32</v>
      </c>
      <c r="D119" s="2">
        <v>119</v>
      </c>
      <c r="E119" s="2">
        <v>189</v>
      </c>
      <c r="F119" s="2" t="s">
        <v>7</v>
      </c>
      <c r="G119" s="2">
        <v>89</v>
      </c>
    </row>
    <row r="120" spans="1:7" x14ac:dyDescent="0.25">
      <c r="A120" s="2">
        <v>119</v>
      </c>
      <c r="B120" s="2">
        <v>50</v>
      </c>
      <c r="C120" s="2">
        <v>18</v>
      </c>
      <c r="D120" s="2">
        <v>120</v>
      </c>
      <c r="E120" s="2">
        <v>190</v>
      </c>
      <c r="F120" s="2" t="s">
        <v>8</v>
      </c>
      <c r="G120" s="2">
        <v>50</v>
      </c>
    </row>
    <row r="121" spans="1:7" x14ac:dyDescent="0.25">
      <c r="A121" s="2">
        <v>120</v>
      </c>
      <c r="B121" s="2">
        <v>51</v>
      </c>
      <c r="C121" s="2">
        <v>19</v>
      </c>
      <c r="D121" s="2">
        <v>121</v>
      </c>
      <c r="E121" s="2">
        <v>191</v>
      </c>
      <c r="F121" s="2" t="s">
        <v>9</v>
      </c>
      <c r="G121" s="2">
        <v>51</v>
      </c>
    </row>
    <row r="122" spans="1:7" x14ac:dyDescent="0.25">
      <c r="A122" s="2">
        <v>121</v>
      </c>
      <c r="B122" s="2">
        <v>52</v>
      </c>
      <c r="C122" s="2">
        <v>20</v>
      </c>
      <c r="D122" s="2">
        <v>122</v>
      </c>
      <c r="E122" s="2">
        <v>192</v>
      </c>
      <c r="F122" s="2" t="s">
        <v>7</v>
      </c>
      <c r="G122" s="2">
        <v>52</v>
      </c>
    </row>
    <row r="123" spans="1:7" x14ac:dyDescent="0.25">
      <c r="A123" s="2">
        <v>122</v>
      </c>
      <c r="B123" s="2">
        <v>53</v>
      </c>
      <c r="C123" s="2">
        <v>21</v>
      </c>
      <c r="D123" s="2">
        <v>123</v>
      </c>
      <c r="E123" s="2">
        <v>193</v>
      </c>
      <c r="F123" s="2" t="s">
        <v>8</v>
      </c>
      <c r="G123" s="2">
        <v>53</v>
      </c>
    </row>
    <row r="124" spans="1:7" x14ac:dyDescent="0.25">
      <c r="A124" s="2">
        <v>123</v>
      </c>
      <c r="B124" s="2">
        <v>54</v>
      </c>
      <c r="C124" s="2">
        <v>22</v>
      </c>
      <c r="D124" s="2">
        <v>124</v>
      </c>
      <c r="E124" s="2">
        <v>194</v>
      </c>
      <c r="F124" s="2" t="s">
        <v>9</v>
      </c>
      <c r="G124" s="2">
        <v>54</v>
      </c>
    </row>
    <row r="125" spans="1:7" x14ac:dyDescent="0.25">
      <c r="A125" s="2">
        <v>124</v>
      </c>
      <c r="B125" s="2">
        <v>55</v>
      </c>
      <c r="C125" s="2">
        <v>23</v>
      </c>
      <c r="D125" s="2">
        <v>125</v>
      </c>
      <c r="E125" s="2">
        <v>195</v>
      </c>
      <c r="F125" s="2" t="s">
        <v>7</v>
      </c>
      <c r="G125" s="2">
        <v>55</v>
      </c>
    </row>
    <row r="126" spans="1:7" x14ac:dyDescent="0.25">
      <c r="A126" s="2">
        <v>125</v>
      </c>
      <c r="B126" s="2">
        <v>56</v>
      </c>
      <c r="C126" s="2">
        <v>24</v>
      </c>
      <c r="D126" s="2">
        <v>126</v>
      </c>
      <c r="E126" s="2">
        <v>196</v>
      </c>
      <c r="F126" s="2" t="s">
        <v>8</v>
      </c>
      <c r="G126" s="2">
        <v>56</v>
      </c>
    </row>
    <row r="127" spans="1:7" x14ac:dyDescent="0.25">
      <c r="A127" s="2">
        <v>126</v>
      </c>
      <c r="B127" s="2">
        <v>57</v>
      </c>
      <c r="C127" s="2">
        <v>25</v>
      </c>
      <c r="D127" s="2">
        <v>127</v>
      </c>
      <c r="E127" s="2">
        <v>197</v>
      </c>
      <c r="F127" s="2" t="s">
        <v>9</v>
      </c>
      <c r="G127" s="2">
        <v>57</v>
      </c>
    </row>
    <row r="128" spans="1:7" x14ac:dyDescent="0.25">
      <c r="A128" s="2">
        <v>127</v>
      </c>
      <c r="B128" s="2">
        <v>58</v>
      </c>
      <c r="C128" s="2">
        <v>26</v>
      </c>
      <c r="D128" s="2">
        <v>128</v>
      </c>
      <c r="E128" s="2">
        <v>198</v>
      </c>
      <c r="F128" s="2" t="s">
        <v>7</v>
      </c>
      <c r="G128" s="2">
        <v>58</v>
      </c>
    </row>
    <row r="129" spans="1:7" x14ac:dyDescent="0.25">
      <c r="A129" s="2">
        <v>128</v>
      </c>
      <c r="B129" s="2">
        <v>59</v>
      </c>
      <c r="C129" s="2">
        <v>27</v>
      </c>
      <c r="D129" s="2">
        <v>129</v>
      </c>
      <c r="E129" s="2">
        <v>199</v>
      </c>
      <c r="F129" s="2" t="s">
        <v>8</v>
      </c>
      <c r="G129" s="2">
        <v>59</v>
      </c>
    </row>
    <row r="130" spans="1:7" x14ac:dyDescent="0.25">
      <c r="A130" s="2">
        <v>129</v>
      </c>
      <c r="B130" s="2">
        <v>60</v>
      </c>
      <c r="C130" s="2">
        <v>28</v>
      </c>
      <c r="D130" s="2">
        <v>130</v>
      </c>
      <c r="E130" s="2">
        <v>200</v>
      </c>
      <c r="F130" s="2" t="s">
        <v>9</v>
      </c>
      <c r="G130" s="2">
        <v>60</v>
      </c>
    </row>
    <row r="131" spans="1:7" x14ac:dyDescent="0.25">
      <c r="A131" s="2">
        <v>130</v>
      </c>
      <c r="B131" s="2">
        <v>61</v>
      </c>
      <c r="C131" s="2">
        <v>29</v>
      </c>
      <c r="D131" s="2">
        <v>131</v>
      </c>
      <c r="E131" s="2">
        <v>201</v>
      </c>
      <c r="F131" s="2" t="s">
        <v>7</v>
      </c>
      <c r="G131" s="2">
        <v>61</v>
      </c>
    </row>
    <row r="132" spans="1:7" x14ac:dyDescent="0.25">
      <c r="A132" s="2">
        <v>131</v>
      </c>
      <c r="B132" s="2">
        <v>62</v>
      </c>
      <c r="C132" s="2">
        <v>30</v>
      </c>
      <c r="D132" s="2">
        <v>132</v>
      </c>
      <c r="E132" s="2">
        <v>202</v>
      </c>
      <c r="F132" s="2" t="s">
        <v>8</v>
      </c>
      <c r="G132" s="2">
        <v>62</v>
      </c>
    </row>
    <row r="133" spans="1:7" x14ac:dyDescent="0.25">
      <c r="A133" s="2">
        <v>132</v>
      </c>
      <c r="B133" s="2">
        <v>63</v>
      </c>
      <c r="C133" s="2">
        <v>31</v>
      </c>
      <c r="D133" s="2">
        <v>133</v>
      </c>
      <c r="E133" s="2">
        <v>203</v>
      </c>
      <c r="F133" s="2" t="s">
        <v>9</v>
      </c>
      <c r="G133" s="2">
        <v>63</v>
      </c>
    </row>
    <row r="134" spans="1:7" x14ac:dyDescent="0.25">
      <c r="A134" s="2">
        <v>133</v>
      </c>
      <c r="B134" s="2">
        <v>64</v>
      </c>
      <c r="C134" s="2">
        <v>32</v>
      </c>
      <c r="D134" s="2">
        <v>134</v>
      </c>
      <c r="E134" s="2">
        <v>204</v>
      </c>
      <c r="F134" s="2" t="s">
        <v>7</v>
      </c>
      <c r="G134" s="2">
        <v>64</v>
      </c>
    </row>
    <row r="135" spans="1:7" x14ac:dyDescent="0.25">
      <c r="A135" s="2">
        <v>134</v>
      </c>
      <c r="B135" s="2">
        <v>20</v>
      </c>
      <c r="C135" s="2">
        <v>18</v>
      </c>
      <c r="D135" s="2">
        <v>135</v>
      </c>
      <c r="E135" s="2">
        <v>205</v>
      </c>
      <c r="F135" s="2" t="s">
        <v>8</v>
      </c>
      <c r="G135" s="2">
        <v>65</v>
      </c>
    </row>
    <row r="136" spans="1:7" x14ac:dyDescent="0.25">
      <c r="A136" s="2">
        <v>135</v>
      </c>
      <c r="B136" s="2">
        <v>21</v>
      </c>
      <c r="C136" s="2">
        <v>19</v>
      </c>
      <c r="D136" s="2">
        <v>136</v>
      </c>
      <c r="E136" s="2">
        <v>206</v>
      </c>
      <c r="F136" s="2" t="s">
        <v>9</v>
      </c>
      <c r="G136" s="2">
        <v>66</v>
      </c>
    </row>
    <row r="137" spans="1:7" x14ac:dyDescent="0.25">
      <c r="A137" s="2">
        <v>136</v>
      </c>
      <c r="B137" s="2">
        <v>22</v>
      </c>
      <c r="C137" s="2">
        <v>20</v>
      </c>
      <c r="D137" s="2">
        <v>137</v>
      </c>
      <c r="E137" s="2">
        <v>207</v>
      </c>
      <c r="F137" s="2" t="s">
        <v>7</v>
      </c>
      <c r="G137" s="2">
        <v>67</v>
      </c>
    </row>
    <row r="138" spans="1:7" x14ac:dyDescent="0.25">
      <c r="A138" s="2">
        <v>137</v>
      </c>
      <c r="B138" s="2">
        <v>23</v>
      </c>
      <c r="C138" s="2">
        <v>21</v>
      </c>
      <c r="D138" s="2">
        <v>138</v>
      </c>
      <c r="E138" s="2">
        <v>208</v>
      </c>
      <c r="F138" s="2" t="s">
        <v>8</v>
      </c>
      <c r="G138" s="2">
        <v>68</v>
      </c>
    </row>
    <row r="139" spans="1:7" x14ac:dyDescent="0.25">
      <c r="A139" s="2">
        <v>138</v>
      </c>
      <c r="B139" s="2">
        <v>24</v>
      </c>
      <c r="C139" s="2">
        <v>22</v>
      </c>
      <c r="D139" s="2">
        <v>139</v>
      </c>
      <c r="E139" s="2">
        <v>209</v>
      </c>
      <c r="F139" s="2" t="s">
        <v>9</v>
      </c>
      <c r="G139" s="2">
        <v>69</v>
      </c>
    </row>
    <row r="140" spans="1:7" x14ac:dyDescent="0.25">
      <c r="A140" s="2">
        <v>139</v>
      </c>
      <c r="B140" s="2">
        <v>25</v>
      </c>
      <c r="C140" s="2">
        <v>23</v>
      </c>
      <c r="D140" s="2">
        <v>140</v>
      </c>
      <c r="E140" s="2">
        <v>210</v>
      </c>
      <c r="F140" s="2" t="s">
        <v>7</v>
      </c>
      <c r="G140" s="2">
        <v>70</v>
      </c>
    </row>
    <row r="141" spans="1:7" x14ac:dyDescent="0.25">
      <c r="A141" s="2">
        <v>140</v>
      </c>
      <c r="B141" s="2">
        <v>26</v>
      </c>
      <c r="C141" s="2">
        <v>24</v>
      </c>
      <c r="D141" s="2">
        <v>141</v>
      </c>
      <c r="E141" s="2">
        <v>211</v>
      </c>
      <c r="F141" s="2" t="s">
        <v>8</v>
      </c>
      <c r="G141" s="2">
        <v>71</v>
      </c>
    </row>
    <row r="142" spans="1:7" x14ac:dyDescent="0.25">
      <c r="A142" s="2">
        <v>141</v>
      </c>
      <c r="B142" s="2">
        <v>27</v>
      </c>
      <c r="C142" s="2">
        <v>25</v>
      </c>
      <c r="D142" s="2">
        <v>142</v>
      </c>
      <c r="E142" s="2">
        <v>212</v>
      </c>
      <c r="F142" s="2" t="s">
        <v>9</v>
      </c>
      <c r="G142" s="2">
        <v>72</v>
      </c>
    </row>
    <row r="143" spans="1:7" x14ac:dyDescent="0.25">
      <c r="A143" s="2">
        <v>142</v>
      </c>
      <c r="B143" s="2">
        <v>28</v>
      </c>
      <c r="C143" s="2">
        <v>26</v>
      </c>
      <c r="D143" s="2">
        <v>143</v>
      </c>
      <c r="E143" s="2">
        <v>213</v>
      </c>
      <c r="F143" s="2" t="s">
        <v>7</v>
      </c>
      <c r="G143" s="2">
        <v>73</v>
      </c>
    </row>
    <row r="144" spans="1:7" x14ac:dyDescent="0.25">
      <c r="A144" s="2">
        <v>143</v>
      </c>
      <c r="B144" s="2">
        <v>29</v>
      </c>
      <c r="C144" s="2">
        <v>27</v>
      </c>
      <c r="D144" s="2">
        <v>144</v>
      </c>
      <c r="E144" s="2">
        <v>214</v>
      </c>
      <c r="F144" s="2" t="s">
        <v>8</v>
      </c>
      <c r="G144" s="2">
        <v>74</v>
      </c>
    </row>
    <row r="145" spans="1:7" x14ac:dyDescent="0.25">
      <c r="A145" s="2">
        <v>144</v>
      </c>
      <c r="B145" s="2">
        <v>30</v>
      </c>
      <c r="C145" s="2">
        <v>28</v>
      </c>
      <c r="D145" s="2">
        <v>145</v>
      </c>
      <c r="E145" s="2">
        <v>215</v>
      </c>
      <c r="F145" s="2" t="s">
        <v>9</v>
      </c>
      <c r="G145" s="2">
        <v>75</v>
      </c>
    </row>
    <row r="146" spans="1:7" x14ac:dyDescent="0.25">
      <c r="A146" s="2">
        <v>145</v>
      </c>
      <c r="B146" s="2">
        <v>31</v>
      </c>
      <c r="C146" s="2">
        <v>29</v>
      </c>
      <c r="D146" s="2">
        <v>146</v>
      </c>
      <c r="E146" s="2">
        <v>216</v>
      </c>
      <c r="F146" s="2" t="s">
        <v>7</v>
      </c>
      <c r="G146" s="2">
        <v>76</v>
      </c>
    </row>
    <row r="147" spans="1:7" x14ac:dyDescent="0.25">
      <c r="A147" s="2">
        <v>146</v>
      </c>
      <c r="B147" s="2">
        <v>32</v>
      </c>
      <c r="C147" s="2">
        <v>30</v>
      </c>
      <c r="D147" s="2">
        <v>147</v>
      </c>
      <c r="E147" s="2">
        <v>217</v>
      </c>
      <c r="F147" s="2" t="s">
        <v>8</v>
      </c>
      <c r="G147" s="2">
        <v>77</v>
      </c>
    </row>
    <row r="148" spans="1:7" x14ac:dyDescent="0.25">
      <c r="A148" s="2">
        <v>147</v>
      </c>
      <c r="B148" s="2">
        <v>33</v>
      </c>
      <c r="C148" s="2">
        <v>31</v>
      </c>
      <c r="D148" s="2">
        <v>148</v>
      </c>
      <c r="E148" s="2">
        <v>218</v>
      </c>
      <c r="F148" s="2" t="s">
        <v>9</v>
      </c>
      <c r="G148" s="2">
        <v>78</v>
      </c>
    </row>
    <row r="149" spans="1:7" x14ac:dyDescent="0.25">
      <c r="A149" s="2">
        <v>148</v>
      </c>
      <c r="B149" s="2">
        <v>34</v>
      </c>
      <c r="C149" s="2">
        <v>32</v>
      </c>
      <c r="D149" s="2">
        <v>149</v>
      </c>
      <c r="E149" s="2">
        <v>219</v>
      </c>
      <c r="F149" s="2" t="s">
        <v>7</v>
      </c>
      <c r="G149" s="2">
        <v>79</v>
      </c>
    </row>
    <row r="150" spans="1:7" x14ac:dyDescent="0.25">
      <c r="A150" s="2">
        <v>149</v>
      </c>
      <c r="B150" s="2">
        <v>35</v>
      </c>
      <c r="C150" s="2">
        <v>18</v>
      </c>
      <c r="D150" s="2">
        <v>100</v>
      </c>
      <c r="E150" s="2">
        <v>220</v>
      </c>
      <c r="F150" s="2" t="s">
        <v>8</v>
      </c>
      <c r="G150" s="2">
        <v>80</v>
      </c>
    </row>
    <row r="151" spans="1:7" x14ac:dyDescent="0.25">
      <c r="A151" s="2">
        <v>150</v>
      </c>
      <c r="B151" s="2">
        <v>36</v>
      </c>
      <c r="C151" s="2">
        <v>19</v>
      </c>
      <c r="D151" s="2">
        <v>101</v>
      </c>
      <c r="E151" s="2">
        <v>221</v>
      </c>
      <c r="F151" s="2" t="s">
        <v>9</v>
      </c>
      <c r="G151" s="2">
        <v>81</v>
      </c>
    </row>
    <row r="152" spans="1:7" x14ac:dyDescent="0.25">
      <c r="A152" s="2">
        <v>151</v>
      </c>
      <c r="B152" s="2">
        <v>37</v>
      </c>
      <c r="C152" s="2">
        <v>20</v>
      </c>
      <c r="D152" s="2">
        <v>102</v>
      </c>
      <c r="E152" s="2">
        <v>222</v>
      </c>
      <c r="F152" s="2" t="s">
        <v>7</v>
      </c>
      <c r="G152" s="2">
        <v>82</v>
      </c>
    </row>
    <row r="153" spans="1:7" x14ac:dyDescent="0.25">
      <c r="A153" s="2">
        <v>152</v>
      </c>
      <c r="B153" s="2">
        <v>38</v>
      </c>
      <c r="C153" s="2">
        <v>21</v>
      </c>
      <c r="D153" s="2">
        <v>103</v>
      </c>
      <c r="E153" s="2">
        <v>223</v>
      </c>
      <c r="F153" s="2" t="s">
        <v>8</v>
      </c>
      <c r="G153" s="2">
        <v>83</v>
      </c>
    </row>
    <row r="154" spans="1:7" x14ac:dyDescent="0.25">
      <c r="A154" s="2">
        <v>153</v>
      </c>
      <c r="B154" s="2">
        <v>39</v>
      </c>
      <c r="C154" s="2">
        <v>22</v>
      </c>
      <c r="D154" s="2">
        <v>104</v>
      </c>
      <c r="E154" s="2">
        <v>224</v>
      </c>
      <c r="F154" s="2" t="s">
        <v>9</v>
      </c>
      <c r="G154" s="2">
        <v>84</v>
      </c>
    </row>
    <row r="155" spans="1:7" x14ac:dyDescent="0.25">
      <c r="A155" s="2">
        <v>154</v>
      </c>
      <c r="B155" s="2">
        <v>40</v>
      </c>
      <c r="C155" s="2">
        <v>23</v>
      </c>
      <c r="D155" s="2">
        <v>105</v>
      </c>
      <c r="E155" s="2">
        <v>225</v>
      </c>
      <c r="F155" s="2" t="s">
        <v>7</v>
      </c>
      <c r="G155" s="2">
        <v>85</v>
      </c>
    </row>
    <row r="156" spans="1:7" x14ac:dyDescent="0.25">
      <c r="A156" s="2">
        <v>155</v>
      </c>
      <c r="B156" s="2">
        <v>41</v>
      </c>
      <c r="C156" s="2">
        <v>24</v>
      </c>
      <c r="D156" s="2">
        <v>106</v>
      </c>
      <c r="E156" s="2">
        <v>226</v>
      </c>
      <c r="F156" s="2" t="s">
        <v>8</v>
      </c>
      <c r="G156" s="2">
        <v>86</v>
      </c>
    </row>
    <row r="157" spans="1:7" x14ac:dyDescent="0.25">
      <c r="A157" s="2">
        <v>156</v>
      </c>
      <c r="B157" s="2">
        <v>42</v>
      </c>
      <c r="C157" s="2">
        <v>25</v>
      </c>
      <c r="D157" s="2">
        <v>107</v>
      </c>
      <c r="E157" s="2">
        <v>227</v>
      </c>
      <c r="F157" s="2" t="s">
        <v>9</v>
      </c>
      <c r="G157" s="2">
        <v>87</v>
      </c>
    </row>
    <row r="158" spans="1:7" x14ac:dyDescent="0.25">
      <c r="A158" s="2">
        <v>157</v>
      </c>
      <c r="B158" s="2">
        <v>43</v>
      </c>
      <c r="C158" s="2">
        <v>26</v>
      </c>
      <c r="D158" s="2">
        <v>108</v>
      </c>
      <c r="E158" s="2">
        <v>228</v>
      </c>
      <c r="F158" s="2" t="s">
        <v>7</v>
      </c>
      <c r="G158" s="2">
        <v>88</v>
      </c>
    </row>
    <row r="159" spans="1:7" x14ac:dyDescent="0.25">
      <c r="A159" s="2">
        <v>158</v>
      </c>
      <c r="B159" s="2">
        <v>44</v>
      </c>
      <c r="C159" s="2">
        <v>27</v>
      </c>
      <c r="D159" s="2">
        <v>109</v>
      </c>
      <c r="E159" s="2">
        <v>229</v>
      </c>
      <c r="F159" s="2" t="s">
        <v>8</v>
      </c>
      <c r="G159" s="2">
        <v>89</v>
      </c>
    </row>
    <row r="160" spans="1:7" x14ac:dyDescent="0.25">
      <c r="A160" s="2">
        <v>159</v>
      </c>
      <c r="B160" s="2">
        <v>45</v>
      </c>
      <c r="C160" s="2">
        <v>28</v>
      </c>
      <c r="D160" s="2">
        <v>110</v>
      </c>
      <c r="E160" s="2">
        <v>150</v>
      </c>
      <c r="F160" s="2" t="s">
        <v>9</v>
      </c>
      <c r="G160" s="2">
        <v>50</v>
      </c>
    </row>
    <row r="161" spans="1:7" x14ac:dyDescent="0.25">
      <c r="A161" s="2">
        <v>160</v>
      </c>
      <c r="B161" s="2">
        <v>46</v>
      </c>
      <c r="C161" s="2">
        <v>29</v>
      </c>
      <c r="D161" s="2">
        <v>111</v>
      </c>
      <c r="E161" s="2">
        <v>151</v>
      </c>
      <c r="F161" s="2" t="s">
        <v>7</v>
      </c>
      <c r="G161" s="2">
        <v>51</v>
      </c>
    </row>
    <row r="162" spans="1:7" x14ac:dyDescent="0.25">
      <c r="A162" s="2">
        <v>161</v>
      </c>
      <c r="B162" s="2">
        <v>47</v>
      </c>
      <c r="C162" s="2">
        <v>30</v>
      </c>
      <c r="D162" s="2">
        <v>112</v>
      </c>
      <c r="E162" s="2">
        <v>152</v>
      </c>
      <c r="F162" s="2" t="s">
        <v>8</v>
      </c>
      <c r="G162" s="2">
        <v>52</v>
      </c>
    </row>
    <row r="163" spans="1:7" x14ac:dyDescent="0.25">
      <c r="A163" s="2">
        <v>162</v>
      </c>
      <c r="B163" s="2">
        <v>48</v>
      </c>
      <c r="C163" s="2">
        <v>31</v>
      </c>
      <c r="D163" s="2">
        <v>113</v>
      </c>
      <c r="E163" s="2">
        <v>153</v>
      </c>
      <c r="F163" s="2" t="s">
        <v>9</v>
      </c>
      <c r="G163" s="2">
        <v>53</v>
      </c>
    </row>
    <row r="164" spans="1:7" x14ac:dyDescent="0.25">
      <c r="A164" s="2">
        <v>163</v>
      </c>
      <c r="B164" s="2">
        <v>49</v>
      </c>
      <c r="C164" s="2">
        <v>32</v>
      </c>
      <c r="D164" s="2">
        <v>114</v>
      </c>
      <c r="E164" s="2">
        <v>154</v>
      </c>
      <c r="F164" s="2" t="s">
        <v>7</v>
      </c>
      <c r="G164" s="2">
        <v>54</v>
      </c>
    </row>
    <row r="165" spans="1:7" x14ac:dyDescent="0.25">
      <c r="A165" s="2">
        <v>164</v>
      </c>
      <c r="B165" s="2">
        <v>50</v>
      </c>
      <c r="C165" s="2">
        <v>18</v>
      </c>
      <c r="D165" s="2">
        <v>115</v>
      </c>
      <c r="E165" s="2">
        <v>155</v>
      </c>
      <c r="F165" s="2" t="s">
        <v>8</v>
      </c>
      <c r="G165" s="2">
        <v>55</v>
      </c>
    </row>
    <row r="166" spans="1:7" x14ac:dyDescent="0.25">
      <c r="A166" s="2">
        <v>165</v>
      </c>
      <c r="B166" s="2">
        <v>51</v>
      </c>
      <c r="C166" s="2">
        <v>19</v>
      </c>
      <c r="D166" s="2">
        <v>116</v>
      </c>
      <c r="E166" s="2">
        <v>156</v>
      </c>
      <c r="F166" s="2" t="s">
        <v>9</v>
      </c>
      <c r="G166" s="2">
        <v>56</v>
      </c>
    </row>
    <row r="167" spans="1:7" x14ac:dyDescent="0.25">
      <c r="A167" s="2">
        <v>166</v>
      </c>
      <c r="B167" s="2">
        <v>52</v>
      </c>
      <c r="C167" s="2">
        <v>20</v>
      </c>
      <c r="D167" s="2">
        <v>117</v>
      </c>
      <c r="E167" s="2">
        <v>157</v>
      </c>
      <c r="F167" s="2" t="s">
        <v>7</v>
      </c>
      <c r="G167" s="2">
        <v>57</v>
      </c>
    </row>
    <row r="168" spans="1:7" x14ac:dyDescent="0.25">
      <c r="A168" s="2">
        <v>167</v>
      </c>
      <c r="B168" s="2">
        <v>53</v>
      </c>
      <c r="C168" s="2">
        <v>21</v>
      </c>
      <c r="D168" s="2">
        <v>118</v>
      </c>
      <c r="E168" s="2">
        <v>158</v>
      </c>
      <c r="F168" s="2" t="s">
        <v>8</v>
      </c>
      <c r="G168" s="2">
        <v>58</v>
      </c>
    </row>
    <row r="169" spans="1:7" x14ac:dyDescent="0.25">
      <c r="A169" s="2">
        <v>168</v>
      </c>
      <c r="B169" s="2">
        <v>54</v>
      </c>
      <c r="C169" s="2">
        <v>22</v>
      </c>
      <c r="D169" s="2">
        <v>119</v>
      </c>
      <c r="E169" s="2">
        <v>159</v>
      </c>
      <c r="F169" s="2" t="s">
        <v>9</v>
      </c>
      <c r="G169" s="2">
        <v>59</v>
      </c>
    </row>
    <row r="170" spans="1:7" x14ac:dyDescent="0.25">
      <c r="A170" s="2">
        <v>169</v>
      </c>
      <c r="B170" s="2">
        <v>55</v>
      </c>
      <c r="C170" s="2">
        <v>23</v>
      </c>
      <c r="D170" s="2">
        <v>120</v>
      </c>
      <c r="E170" s="2">
        <v>160</v>
      </c>
      <c r="F170" s="2" t="s">
        <v>7</v>
      </c>
      <c r="G170" s="2">
        <v>60</v>
      </c>
    </row>
    <row r="171" spans="1:7" x14ac:dyDescent="0.25">
      <c r="A171" s="2">
        <v>170</v>
      </c>
      <c r="B171" s="2">
        <v>56</v>
      </c>
      <c r="C171" s="2">
        <v>24</v>
      </c>
      <c r="D171" s="2">
        <v>121</v>
      </c>
      <c r="E171" s="2">
        <v>161</v>
      </c>
      <c r="F171" s="2" t="s">
        <v>8</v>
      </c>
      <c r="G171" s="2">
        <v>61</v>
      </c>
    </row>
    <row r="172" spans="1:7" x14ac:dyDescent="0.25">
      <c r="A172" s="2">
        <v>171</v>
      </c>
      <c r="B172" s="2">
        <v>57</v>
      </c>
      <c r="C172" s="2">
        <v>25</v>
      </c>
      <c r="D172" s="2">
        <v>122</v>
      </c>
      <c r="E172" s="2">
        <v>162</v>
      </c>
      <c r="F172" s="2" t="s">
        <v>9</v>
      </c>
      <c r="G172" s="2">
        <v>62</v>
      </c>
    </row>
    <row r="173" spans="1:7" x14ac:dyDescent="0.25">
      <c r="A173" s="2">
        <v>172</v>
      </c>
      <c r="B173" s="2">
        <v>58</v>
      </c>
      <c r="C173" s="2">
        <v>26</v>
      </c>
      <c r="D173" s="2">
        <v>123</v>
      </c>
      <c r="E173" s="2">
        <v>163</v>
      </c>
      <c r="F173" s="2" t="s">
        <v>7</v>
      </c>
      <c r="G173" s="2">
        <v>63</v>
      </c>
    </row>
    <row r="174" spans="1:7" x14ac:dyDescent="0.25">
      <c r="A174" s="2">
        <v>173</v>
      </c>
      <c r="B174" s="2">
        <v>59</v>
      </c>
      <c r="C174" s="2">
        <v>27</v>
      </c>
      <c r="D174" s="2">
        <v>124</v>
      </c>
      <c r="E174" s="2">
        <v>164</v>
      </c>
      <c r="F174" s="2" t="s">
        <v>8</v>
      </c>
      <c r="G174" s="2">
        <v>64</v>
      </c>
    </row>
    <row r="175" spans="1:7" x14ac:dyDescent="0.25">
      <c r="A175" s="2">
        <v>174</v>
      </c>
      <c r="B175" s="2">
        <v>60</v>
      </c>
      <c r="C175" s="2">
        <v>28</v>
      </c>
      <c r="D175" s="2">
        <v>125</v>
      </c>
      <c r="E175" s="2">
        <v>165</v>
      </c>
      <c r="F175" s="2" t="s">
        <v>9</v>
      </c>
      <c r="G175" s="2">
        <v>65</v>
      </c>
    </row>
    <row r="176" spans="1:7" x14ac:dyDescent="0.25">
      <c r="A176" s="2">
        <v>175</v>
      </c>
      <c r="B176" s="2">
        <v>61</v>
      </c>
      <c r="C176" s="2">
        <v>29</v>
      </c>
      <c r="D176" s="2">
        <v>126</v>
      </c>
      <c r="E176" s="2">
        <v>166</v>
      </c>
      <c r="F176" s="2" t="s">
        <v>7</v>
      </c>
      <c r="G176" s="2">
        <v>66</v>
      </c>
    </row>
    <row r="177" spans="1:7" x14ac:dyDescent="0.25">
      <c r="A177" s="2">
        <v>176</v>
      </c>
      <c r="B177" s="2">
        <v>62</v>
      </c>
      <c r="C177" s="2">
        <v>30</v>
      </c>
      <c r="D177" s="2">
        <v>127</v>
      </c>
      <c r="E177" s="2">
        <v>167</v>
      </c>
      <c r="F177" s="2" t="s">
        <v>8</v>
      </c>
      <c r="G177" s="2">
        <v>67</v>
      </c>
    </row>
    <row r="178" spans="1:7" x14ac:dyDescent="0.25">
      <c r="A178" s="2">
        <v>177</v>
      </c>
      <c r="B178" s="2">
        <v>63</v>
      </c>
      <c r="C178" s="2">
        <v>31</v>
      </c>
      <c r="D178" s="2">
        <v>128</v>
      </c>
      <c r="E178" s="2">
        <v>168</v>
      </c>
      <c r="F178" s="2" t="s">
        <v>9</v>
      </c>
      <c r="G178" s="2">
        <v>68</v>
      </c>
    </row>
    <row r="179" spans="1:7" x14ac:dyDescent="0.25">
      <c r="A179" s="2">
        <v>178</v>
      </c>
      <c r="B179" s="2">
        <v>64</v>
      </c>
      <c r="C179" s="2">
        <v>32</v>
      </c>
      <c r="D179" s="2">
        <v>129</v>
      </c>
      <c r="E179" s="2">
        <v>169</v>
      </c>
      <c r="F179" s="2" t="s">
        <v>7</v>
      </c>
      <c r="G179" s="2">
        <v>69</v>
      </c>
    </row>
    <row r="180" spans="1:7" x14ac:dyDescent="0.25">
      <c r="A180" s="2">
        <v>179</v>
      </c>
      <c r="B180" s="2">
        <v>20</v>
      </c>
      <c r="C180" s="2">
        <v>18</v>
      </c>
      <c r="D180" s="2">
        <v>130</v>
      </c>
      <c r="E180" s="2">
        <v>170</v>
      </c>
      <c r="F180" s="2" t="s">
        <v>8</v>
      </c>
      <c r="G180" s="2">
        <v>70</v>
      </c>
    </row>
    <row r="181" spans="1:7" x14ac:dyDescent="0.25">
      <c r="A181" s="2">
        <v>180</v>
      </c>
      <c r="B181" s="2">
        <v>21</v>
      </c>
      <c r="C181" s="2">
        <v>19</v>
      </c>
      <c r="D181" s="2">
        <v>131</v>
      </c>
      <c r="E181" s="2">
        <v>171</v>
      </c>
      <c r="F181" s="2" t="s">
        <v>9</v>
      </c>
      <c r="G181" s="2">
        <v>71</v>
      </c>
    </row>
    <row r="182" spans="1:7" x14ac:dyDescent="0.25">
      <c r="A182" s="2">
        <v>181</v>
      </c>
      <c r="B182" s="2">
        <v>22</v>
      </c>
      <c r="C182" s="2">
        <v>20</v>
      </c>
      <c r="D182" s="2">
        <v>132</v>
      </c>
      <c r="E182" s="2">
        <v>172</v>
      </c>
      <c r="F182" s="2" t="s">
        <v>7</v>
      </c>
      <c r="G182" s="2">
        <v>72</v>
      </c>
    </row>
    <row r="183" spans="1:7" x14ac:dyDescent="0.25">
      <c r="A183" s="2">
        <v>182</v>
      </c>
      <c r="B183" s="2">
        <v>23</v>
      </c>
      <c r="C183" s="2">
        <v>21</v>
      </c>
      <c r="D183" s="2">
        <v>133</v>
      </c>
      <c r="E183" s="2">
        <v>173</v>
      </c>
      <c r="F183" s="2" t="s">
        <v>8</v>
      </c>
      <c r="G183" s="2">
        <v>73</v>
      </c>
    </row>
    <row r="184" spans="1:7" x14ac:dyDescent="0.25">
      <c r="A184" s="2">
        <v>183</v>
      </c>
      <c r="B184" s="2">
        <v>24</v>
      </c>
      <c r="C184" s="2">
        <v>22</v>
      </c>
      <c r="D184" s="2">
        <v>134</v>
      </c>
      <c r="E184" s="2">
        <v>174</v>
      </c>
      <c r="F184" s="2" t="s">
        <v>9</v>
      </c>
      <c r="G184" s="2">
        <v>74</v>
      </c>
    </row>
    <row r="185" spans="1:7" x14ac:dyDescent="0.25">
      <c r="A185" s="2">
        <v>184</v>
      </c>
      <c r="B185" s="2">
        <v>25</v>
      </c>
      <c r="C185" s="2">
        <v>23</v>
      </c>
      <c r="D185" s="2">
        <v>135</v>
      </c>
      <c r="E185" s="2">
        <v>175</v>
      </c>
      <c r="F185" s="2" t="s">
        <v>7</v>
      </c>
      <c r="G185" s="2">
        <v>75</v>
      </c>
    </row>
    <row r="186" spans="1:7" x14ac:dyDescent="0.25">
      <c r="A186" s="2">
        <v>185</v>
      </c>
      <c r="B186" s="2">
        <v>26</v>
      </c>
      <c r="C186" s="2">
        <v>24</v>
      </c>
      <c r="D186" s="2">
        <v>136</v>
      </c>
      <c r="E186" s="2">
        <v>176</v>
      </c>
      <c r="F186" s="2" t="s">
        <v>8</v>
      </c>
      <c r="G186" s="2">
        <v>76</v>
      </c>
    </row>
    <row r="187" spans="1:7" x14ac:dyDescent="0.25">
      <c r="A187" s="2">
        <v>186</v>
      </c>
      <c r="B187" s="2">
        <v>27</v>
      </c>
      <c r="C187" s="2">
        <v>25</v>
      </c>
      <c r="D187" s="2">
        <v>137</v>
      </c>
      <c r="E187" s="2">
        <v>177</v>
      </c>
      <c r="F187" s="2" t="s">
        <v>9</v>
      </c>
      <c r="G187" s="2">
        <v>77</v>
      </c>
    </row>
    <row r="188" spans="1:7" x14ac:dyDescent="0.25">
      <c r="A188" s="2">
        <v>187</v>
      </c>
      <c r="B188" s="2">
        <v>28</v>
      </c>
      <c r="C188" s="2">
        <v>26</v>
      </c>
      <c r="D188" s="2">
        <v>138</v>
      </c>
      <c r="E188" s="2">
        <v>178</v>
      </c>
      <c r="F188" s="2" t="s">
        <v>7</v>
      </c>
      <c r="G188" s="2">
        <v>78</v>
      </c>
    </row>
    <row r="189" spans="1:7" x14ac:dyDescent="0.25">
      <c r="A189" s="2">
        <v>188</v>
      </c>
      <c r="B189" s="2">
        <v>29</v>
      </c>
      <c r="C189" s="2">
        <v>27</v>
      </c>
      <c r="D189" s="2">
        <v>139</v>
      </c>
      <c r="E189" s="2">
        <v>179</v>
      </c>
      <c r="F189" s="2" t="s">
        <v>8</v>
      </c>
      <c r="G189" s="2">
        <v>79</v>
      </c>
    </row>
    <row r="190" spans="1:7" x14ac:dyDescent="0.25">
      <c r="A190" s="2">
        <v>189</v>
      </c>
      <c r="B190" s="2">
        <v>30</v>
      </c>
      <c r="C190" s="2">
        <v>28</v>
      </c>
      <c r="D190" s="2">
        <v>140</v>
      </c>
      <c r="E190" s="2">
        <v>180</v>
      </c>
      <c r="F190" s="2" t="s">
        <v>9</v>
      </c>
      <c r="G190" s="2">
        <v>80</v>
      </c>
    </row>
    <row r="191" spans="1:7" x14ac:dyDescent="0.25">
      <c r="A191" s="2">
        <v>190</v>
      </c>
      <c r="B191" s="2">
        <v>31</v>
      </c>
      <c r="C191" s="2">
        <v>29</v>
      </c>
      <c r="D191" s="2">
        <v>141</v>
      </c>
      <c r="E191" s="2">
        <v>181</v>
      </c>
      <c r="F191" s="2" t="s">
        <v>7</v>
      </c>
      <c r="G191" s="2">
        <v>81</v>
      </c>
    </row>
    <row r="192" spans="1:7" x14ac:dyDescent="0.25">
      <c r="A192" s="2">
        <v>191</v>
      </c>
      <c r="B192" s="2">
        <v>32</v>
      </c>
      <c r="C192" s="2">
        <v>30</v>
      </c>
      <c r="D192" s="2">
        <v>142</v>
      </c>
      <c r="E192" s="2">
        <v>182</v>
      </c>
      <c r="F192" s="2" t="s">
        <v>8</v>
      </c>
      <c r="G192" s="2">
        <v>82</v>
      </c>
    </row>
    <row r="193" spans="1:7" x14ac:dyDescent="0.25">
      <c r="A193" s="2">
        <v>192</v>
      </c>
      <c r="B193" s="2">
        <v>33</v>
      </c>
      <c r="C193" s="2">
        <v>31</v>
      </c>
      <c r="D193" s="2">
        <v>143</v>
      </c>
      <c r="E193" s="2">
        <v>183</v>
      </c>
      <c r="F193" s="2" t="s">
        <v>9</v>
      </c>
      <c r="G193" s="2">
        <v>83</v>
      </c>
    </row>
    <row r="194" spans="1:7" x14ac:dyDescent="0.25">
      <c r="A194" s="2">
        <v>193</v>
      </c>
      <c r="B194" s="2">
        <v>34</v>
      </c>
      <c r="C194" s="2">
        <v>32</v>
      </c>
      <c r="D194" s="2">
        <v>144</v>
      </c>
      <c r="E194" s="2">
        <v>184</v>
      </c>
      <c r="F194" s="2" t="s">
        <v>7</v>
      </c>
      <c r="G194" s="2">
        <v>84</v>
      </c>
    </row>
    <row r="195" spans="1:7" x14ac:dyDescent="0.25">
      <c r="A195" s="2">
        <v>194</v>
      </c>
      <c r="B195" s="2">
        <v>35</v>
      </c>
      <c r="C195" s="2">
        <v>18</v>
      </c>
      <c r="D195" s="2">
        <v>145</v>
      </c>
      <c r="E195" s="2">
        <v>185</v>
      </c>
      <c r="F195" s="2" t="s">
        <v>8</v>
      </c>
      <c r="G195" s="2">
        <v>85</v>
      </c>
    </row>
    <row r="196" spans="1:7" x14ac:dyDescent="0.25">
      <c r="A196" s="2">
        <v>195</v>
      </c>
      <c r="B196" s="2">
        <v>36</v>
      </c>
      <c r="C196" s="2">
        <v>19</v>
      </c>
      <c r="D196" s="2">
        <v>146</v>
      </c>
      <c r="E196" s="2">
        <v>186</v>
      </c>
      <c r="F196" s="2" t="s">
        <v>9</v>
      </c>
      <c r="G196" s="2">
        <v>86</v>
      </c>
    </row>
    <row r="197" spans="1:7" x14ac:dyDescent="0.25">
      <c r="A197" s="2">
        <v>196</v>
      </c>
      <c r="B197" s="2">
        <v>37</v>
      </c>
      <c r="C197" s="2">
        <v>20</v>
      </c>
      <c r="D197" s="2">
        <v>147</v>
      </c>
      <c r="E197" s="2">
        <v>187</v>
      </c>
      <c r="F197" s="2" t="s">
        <v>7</v>
      </c>
      <c r="G197" s="2">
        <v>87</v>
      </c>
    </row>
    <row r="198" spans="1:7" x14ac:dyDescent="0.25">
      <c r="A198" s="2">
        <v>197</v>
      </c>
      <c r="B198" s="2">
        <v>38</v>
      </c>
      <c r="C198" s="2">
        <v>21</v>
      </c>
      <c r="D198" s="2">
        <v>148</v>
      </c>
      <c r="E198" s="2">
        <v>188</v>
      </c>
      <c r="F198" s="2" t="s">
        <v>8</v>
      </c>
      <c r="G198" s="2">
        <v>88</v>
      </c>
    </row>
    <row r="199" spans="1:7" x14ac:dyDescent="0.25">
      <c r="A199" s="2">
        <v>198</v>
      </c>
      <c r="B199" s="2">
        <v>39</v>
      </c>
      <c r="C199" s="2">
        <v>22</v>
      </c>
      <c r="D199" s="2">
        <v>149</v>
      </c>
      <c r="E199" s="2">
        <v>189</v>
      </c>
      <c r="F199" s="2" t="s">
        <v>9</v>
      </c>
      <c r="G199" s="2">
        <v>89</v>
      </c>
    </row>
    <row r="200" spans="1:7" x14ac:dyDescent="0.25">
      <c r="A200" s="2">
        <v>199</v>
      </c>
      <c r="B200" s="2">
        <v>40</v>
      </c>
      <c r="C200" s="2">
        <v>23</v>
      </c>
      <c r="D200" s="2">
        <v>100</v>
      </c>
      <c r="E200" s="2">
        <v>190</v>
      </c>
      <c r="F200" s="2" t="s">
        <v>7</v>
      </c>
      <c r="G200" s="2">
        <v>50</v>
      </c>
    </row>
    <row r="201" spans="1:7" x14ac:dyDescent="0.25">
      <c r="A201" s="2">
        <v>200</v>
      </c>
      <c r="B201" s="2">
        <v>41</v>
      </c>
      <c r="C201" s="2">
        <v>24</v>
      </c>
      <c r="D201" s="2">
        <v>101</v>
      </c>
      <c r="E201" s="2">
        <v>191</v>
      </c>
      <c r="F201" s="2" t="s">
        <v>8</v>
      </c>
      <c r="G201" s="2">
        <v>51</v>
      </c>
    </row>
  </sheetData>
  <sortState xmlns:xlrd2="http://schemas.microsoft.com/office/spreadsheetml/2017/richdata2" ref="AQ30:AQ48">
    <sortCondition ref="AQ30"/>
  </sortState>
  <mergeCells count="17">
    <mergeCell ref="AM6:AU7"/>
    <mergeCell ref="J13:K14"/>
    <mergeCell ref="J32:L33"/>
    <mergeCell ref="N79:T79"/>
    <mergeCell ref="N15:R16"/>
    <mergeCell ref="AK8:AL8"/>
    <mergeCell ref="AK15:AP15"/>
    <mergeCell ref="AK27:AN28"/>
    <mergeCell ref="AP27:AQ28"/>
    <mergeCell ref="U23:Y24"/>
    <mergeCell ref="U52:AA52"/>
    <mergeCell ref="AC6:AG7"/>
    <mergeCell ref="AC34:AI34"/>
    <mergeCell ref="O7:S7"/>
    <mergeCell ref="U15:AA15"/>
    <mergeCell ref="U7:Y8"/>
    <mergeCell ref="U9:Y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Healthcare_Data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MITS</cp:lastModifiedBy>
  <dcterms:created xsi:type="dcterms:W3CDTF">2026-06-05T06:39:53Z</dcterms:created>
  <dcterms:modified xsi:type="dcterms:W3CDTF">2026-06-06T04:45:33Z</dcterms:modified>
</cp:coreProperties>
</file>