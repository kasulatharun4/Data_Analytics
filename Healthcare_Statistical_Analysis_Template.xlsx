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Kavya\Downloads\"/>
    </mc:Choice>
  </mc:AlternateContent>
  <xr:revisionPtr revIDLastSave="0" documentId="13_ncr:1_{BE38771A-DC80-47A7-8108-A95D6592DF8D}" xr6:coauthVersionLast="47" xr6:coauthVersionMax="47" xr10:uidLastSave="{00000000-0000-0000-0000-000000000000}"/>
  <bookViews>
    <workbookView xWindow="-108" yWindow="-108" windowWidth="23256" windowHeight="12456" activeTab="2" xr2:uid="{00000000-000D-0000-FFFF-FFFF00000000}"/>
  </bookViews>
  <sheets>
    <sheet name="Sheet1" sheetId="2" r:id="rId1"/>
    <sheet name="Sheet2" sheetId="3" r:id="rId2"/>
    <sheet name="Sheet5" sheetId="6" r:id="rId3"/>
    <sheet name="Sheet3" sheetId="4" r:id="rId4"/>
    <sheet name="Sheet4" sheetId="5" r:id="rId5"/>
    <sheet name="Sheet6" sheetId="7" r:id="rId6"/>
    <sheet name="Sheet7" sheetId="8" r:id="rId7"/>
    <sheet name="Healthcare_Data" sheetId="1" r:id="rId8"/>
  </sheets>
  <definedNames>
    <definedName name="Slicer_Age">#N/A</definedName>
    <definedName name="Slicer_Blood_Pressure">#N/A</definedName>
    <definedName name="Slicer_Blood_Pressure1">#N/A</definedName>
    <definedName name="Slicer_Blood_Pressure2">#N/A</definedName>
    <definedName name="Slicer_BMI">#N/A</definedName>
    <definedName name="Slicer_BMI1">#N/A</definedName>
    <definedName name="Slicer_BMI2">#N/A</definedName>
    <definedName name="Slicer_Cholesterol">#N/A</definedName>
    <definedName name="Slicer_Recovery_Score">#N/A</definedName>
  </definedNames>
  <calcPr calcId="191029"/>
  <pivotCaches>
    <pivotCache cacheId="0" r:id="rId9"/>
    <pivotCache cacheId="1" r:id="rId10"/>
    <pivotCache cacheId="2" r:id="rId11"/>
    <pivotCache cacheId="3" r:id="rId12"/>
    <pivotCache cacheId="11"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S12" i="1" l="1"/>
  <c r="R11" i="1"/>
  <c r="Q10" i="1"/>
  <c r="P9" i="1"/>
</calcChain>
</file>

<file path=xl/sharedStrings.xml><?xml version="1.0" encoding="utf-8"?>
<sst xmlns="http://schemas.openxmlformats.org/spreadsheetml/2006/main" count="500" uniqueCount="127">
  <si>
    <t>Patient_ID</t>
  </si>
  <si>
    <t>Age</t>
  </si>
  <si>
    <t>BMI</t>
  </si>
  <si>
    <t>Blood_Pressure</t>
  </si>
  <si>
    <t>Cholesterol</t>
  </si>
  <si>
    <t>Treatment_Group</t>
  </si>
  <si>
    <t>Recovery_Score</t>
  </si>
  <si>
    <t>C</t>
  </si>
  <si>
    <t>A</t>
  </si>
  <si>
    <t>B</t>
  </si>
  <si>
    <t>SS</t>
  </si>
  <si>
    <t>df</t>
  </si>
  <si>
    <t>MS</t>
  </si>
  <si>
    <t>F</t>
  </si>
  <si>
    <t>P-value</t>
  </si>
  <si>
    <t>Between Groups</t>
  </si>
  <si>
    <t>Within Groups</t>
  </si>
  <si>
    <t>Column 1</t>
  </si>
  <si>
    <t>Column 2</t>
  </si>
  <si>
    <t>Column 3</t>
  </si>
  <si>
    <t>Column 4</t>
  </si>
  <si>
    <t>Co-Variance</t>
  </si>
  <si>
    <t>Anova: Single Factor</t>
  </si>
  <si>
    <t>SUMMARY</t>
  </si>
  <si>
    <t>Groups</t>
  </si>
  <si>
    <t>Count</t>
  </si>
  <si>
    <t>Sum</t>
  </si>
  <si>
    <t>Average</t>
  </si>
  <si>
    <t>Variance</t>
  </si>
  <si>
    <t>ANOVA</t>
  </si>
  <si>
    <t>Source of Variation</t>
  </si>
  <si>
    <t>F crit</t>
  </si>
  <si>
    <t>Total</t>
  </si>
  <si>
    <t>Anova: Two-Factor With Replication</t>
  </si>
  <si>
    <t>Sample</t>
  </si>
  <si>
    <t>Columns</t>
  </si>
  <si>
    <t>Interaction</t>
  </si>
  <si>
    <t>Within</t>
  </si>
  <si>
    <t>Anova: Two-Factor Without Replication</t>
  </si>
  <si>
    <t>Row 1</t>
  </si>
  <si>
    <t>Row 2</t>
  </si>
  <si>
    <t>Row 3</t>
  </si>
  <si>
    <t>Row 4</t>
  </si>
  <si>
    <t>Row 5</t>
  </si>
  <si>
    <t>Row 6</t>
  </si>
  <si>
    <t>Row 7</t>
  </si>
  <si>
    <t>Row 8</t>
  </si>
  <si>
    <t>Row 9</t>
  </si>
  <si>
    <t>Row 10</t>
  </si>
  <si>
    <t>Row 11</t>
  </si>
  <si>
    <t>Row 12</t>
  </si>
  <si>
    <t>Row 13</t>
  </si>
  <si>
    <t>Row 14</t>
  </si>
  <si>
    <t>Row 15</t>
  </si>
  <si>
    <t>Row 16</t>
  </si>
  <si>
    <t>Row 17</t>
  </si>
  <si>
    <t>Row 18</t>
  </si>
  <si>
    <t>Row 19</t>
  </si>
  <si>
    <t>Rows</t>
  </si>
  <si>
    <t>Error</t>
  </si>
  <si>
    <t>Regression Statistics</t>
  </si>
  <si>
    <t>Multiple R</t>
  </si>
  <si>
    <t>R Square</t>
  </si>
  <si>
    <t>Adjusted R Square</t>
  </si>
  <si>
    <t>Standard Error</t>
  </si>
  <si>
    <t>Observations</t>
  </si>
  <si>
    <t>Regression</t>
  </si>
  <si>
    <t>Residual</t>
  </si>
  <si>
    <t>Intercept</t>
  </si>
  <si>
    <t>Significance F</t>
  </si>
  <si>
    <t>Coefficients</t>
  </si>
  <si>
    <t>t Stat</t>
  </si>
  <si>
    <t>Lower 95%</t>
  </si>
  <si>
    <t>Upper 95%</t>
  </si>
  <si>
    <t>Lower 95.0%</t>
  </si>
  <si>
    <t>Upper 95.0%</t>
  </si>
  <si>
    <t>X Variable 1</t>
  </si>
  <si>
    <t>RESIDUAL OUTPUT</t>
  </si>
  <si>
    <t>Observation</t>
  </si>
  <si>
    <t>Predicted Y</t>
  </si>
  <si>
    <t>Residuals</t>
  </si>
  <si>
    <t>Standard Residuals</t>
  </si>
  <si>
    <t>PROBABILITY OUTPUT</t>
  </si>
  <si>
    <t>Percentile</t>
  </si>
  <si>
    <t>Y</t>
  </si>
  <si>
    <t>Column1</t>
  </si>
  <si>
    <t>Mean</t>
  </si>
  <si>
    <t>Median</t>
  </si>
  <si>
    <t>Mode</t>
  </si>
  <si>
    <t>Standard Deviation</t>
  </si>
  <si>
    <t>Sample Variance</t>
  </si>
  <si>
    <t>Kurtosis</t>
  </si>
  <si>
    <t>Skewness</t>
  </si>
  <si>
    <t>Range</t>
  </si>
  <si>
    <t>Minimum</t>
  </si>
  <si>
    <t>Maximum</t>
  </si>
  <si>
    <t>Largest(1)</t>
  </si>
  <si>
    <t>Smallest(1)</t>
  </si>
  <si>
    <t>Confidence Level(95.0%)</t>
  </si>
  <si>
    <t>Descriptive Statistics</t>
  </si>
  <si>
    <t>t-Test: Paired Two Sample for Means</t>
  </si>
  <si>
    <t>Pearson Correlation</t>
  </si>
  <si>
    <t>Hypothesized Mean Difference</t>
  </si>
  <si>
    <t>P(T&lt;=t) one-tail</t>
  </si>
  <si>
    <t>t Critical one-tail</t>
  </si>
  <si>
    <t>P(T&lt;=t) two-tail</t>
  </si>
  <si>
    <t>t Critical two-tail</t>
  </si>
  <si>
    <t xml:space="preserve">        REGRESSION ANALYSIS</t>
  </si>
  <si>
    <t>F-Test Two-Sample for Variances</t>
  </si>
  <si>
    <t>Variable 1</t>
  </si>
  <si>
    <t>Variable 2</t>
  </si>
  <si>
    <t>P(F&lt;=f) one-tail</t>
  </si>
  <si>
    <t>F Critical one-tail</t>
  </si>
  <si>
    <t>Row Labels</t>
  </si>
  <si>
    <t>Sum of Age</t>
  </si>
  <si>
    <t>Grand Total</t>
  </si>
  <si>
    <t>Sum of BMI</t>
  </si>
  <si>
    <t>Sum of Blood_Pressure</t>
  </si>
  <si>
    <t>Sum of Cholesterol</t>
  </si>
  <si>
    <t>Sum of Recovery_Score</t>
  </si>
  <si>
    <t>Count of Patient_ID</t>
  </si>
  <si>
    <t>age</t>
  </si>
  <si>
    <t>Blood_pressure</t>
  </si>
  <si>
    <r>
      <t xml:space="preserve">HEAlth-care dashboard       </t>
    </r>
    <r>
      <rPr>
        <b/>
        <sz val="26"/>
        <color theme="2"/>
        <rFont val="Algerian"/>
        <family val="5"/>
      </rPr>
      <t xml:space="preserve"> </t>
    </r>
  </si>
  <si>
    <t>R Score</t>
  </si>
  <si>
    <t>T_Group</t>
  </si>
  <si>
    <t>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</si>
</sst>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1"/>
      <name val="Calibri"/>
    </font>
    <font>
      <b/>
      <sz val="11"/>
      <color theme="1"/>
      <name val="Calibri"/>
      <family val="2"/>
      <scheme val="minor"/>
    </font>
    <font>
      <i/>
      <sz val="11"/>
      <color theme="1"/>
      <name val="Calibri"/>
      <family val="2"/>
      <scheme val="minor"/>
    </font>
    <font>
      <b/>
      <sz val="22"/>
      <color theme="0"/>
      <name val="Calibri"/>
      <family val="2"/>
      <scheme val="minor"/>
    </font>
    <font>
      <i/>
      <sz val="11"/>
      <color theme="0"/>
      <name val="Calibri"/>
      <family val="2"/>
      <scheme val="minor"/>
    </font>
    <font>
      <b/>
      <sz val="18"/>
      <color theme="0"/>
      <name val="Calibri"/>
      <family val="2"/>
      <scheme val="minor"/>
    </font>
    <font>
      <i/>
      <sz val="10"/>
      <color theme="1"/>
      <name val="Calibri"/>
      <family val="2"/>
      <scheme val="minor"/>
    </font>
    <font>
      <b/>
      <sz val="18"/>
      <color theme="2"/>
      <name val="Algerian"/>
      <family val="5"/>
    </font>
    <font>
      <b/>
      <sz val="18"/>
      <color theme="1"/>
      <name val="Algerian"/>
      <family val="5"/>
    </font>
    <font>
      <sz val="11"/>
      <color theme="2"/>
      <name val="Calibri"/>
      <family val="2"/>
      <scheme val="minor"/>
    </font>
    <font>
      <b/>
      <sz val="11"/>
      <color theme="0"/>
      <name val="Calibri"/>
      <family val="2"/>
      <scheme val="minor"/>
    </font>
    <font>
      <sz val="11"/>
      <color theme="0"/>
      <name val="Calibri"/>
      <family val="2"/>
      <scheme val="minor"/>
    </font>
    <font>
      <sz val="14"/>
      <color theme="0"/>
      <name val="Algerian"/>
      <family val="5"/>
    </font>
    <font>
      <b/>
      <sz val="12"/>
      <color theme="0"/>
      <name val="Algerian"/>
      <family val="5"/>
    </font>
    <font>
      <sz val="22"/>
      <color theme="0"/>
      <name val="Algerian"/>
      <family val="5"/>
    </font>
    <font>
      <sz val="36"/>
      <color theme="0"/>
      <name val="Algerian"/>
      <family val="5"/>
    </font>
    <font>
      <i/>
      <sz val="14"/>
      <color theme="1"/>
      <name val="Calibri"/>
      <family val="2"/>
      <scheme val="minor"/>
    </font>
    <font>
      <sz val="11"/>
      <color theme="0"/>
      <name val="Algerian"/>
      <family val="5"/>
    </font>
    <font>
      <sz val="26"/>
      <color theme="2"/>
      <name val="Algerian"/>
      <family val="5"/>
    </font>
    <font>
      <b/>
      <sz val="26"/>
      <color theme="2"/>
      <name val="Algerian"/>
      <family val="5"/>
    </font>
    <font>
      <b/>
      <sz val="11"/>
      <color theme="0"/>
      <name val="Calibri"/>
      <family val="2"/>
    </font>
  </fonts>
  <fills count="22">
    <fill>
      <patternFill patternType="none"/>
    </fill>
    <fill>
      <patternFill patternType="gray125"/>
    </fill>
    <fill>
      <patternFill patternType="solid">
        <fgColor theme="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8"/>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3"/>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theme="3" tint="0.39997558519241921"/>
        <bgColor indexed="64"/>
      </patternFill>
    </fill>
    <fill>
      <patternFill patternType="solid">
        <fgColor theme="3" tint="0.59999389629810485"/>
        <bgColor indexed="64"/>
      </patternFill>
    </fill>
    <fill>
      <patternFill patternType="solid">
        <fgColor rgb="FF7030A0"/>
        <bgColor indexed="64"/>
      </patternFill>
    </fill>
  </fills>
  <borders count="13">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05">
    <xf numFmtId="0" fontId="0" fillId="0" borderId="0" xfId="0"/>
    <xf numFmtId="0" fontId="5" fillId="3" borderId="2" xfId="0" applyFont="1" applyFill="1" applyBorder="1" applyAlignment="1">
      <alignment horizontal="center"/>
    </xf>
    <xf numFmtId="0" fontId="0" fillId="4" borderId="2" xfId="0" applyFill="1" applyBorder="1"/>
    <xf numFmtId="0" fontId="0" fillId="0" borderId="2" xfId="0" applyBorder="1"/>
    <xf numFmtId="0" fontId="3" fillId="7" borderId="2" xfId="0" applyFont="1" applyFill="1" applyBorder="1" applyAlignment="1">
      <alignment horizontal="center"/>
    </xf>
    <xf numFmtId="0" fontId="0" fillId="7" borderId="2" xfId="0" applyFill="1" applyBorder="1"/>
    <xf numFmtId="0" fontId="3" fillId="6" borderId="2" xfId="0" applyFont="1" applyFill="1" applyBorder="1" applyAlignment="1">
      <alignment horizontal="center"/>
    </xf>
    <xf numFmtId="0" fontId="7" fillId="0" borderId="0" xfId="0" applyFont="1" applyAlignment="1">
      <alignment horizontal="right"/>
    </xf>
    <xf numFmtId="0" fontId="0" fillId="9" borderId="2" xfId="0" applyFill="1" applyBorder="1"/>
    <xf numFmtId="0" fontId="7" fillId="9" borderId="2" xfId="0" applyFont="1" applyFill="1" applyBorder="1" applyAlignment="1">
      <alignment horizontal="right"/>
    </xf>
    <xf numFmtId="0" fontId="0" fillId="10" borderId="2" xfId="0" applyFill="1" applyBorder="1"/>
    <xf numFmtId="0" fontId="7" fillId="10" borderId="2" xfId="0" applyFont="1" applyFill="1" applyBorder="1" applyAlignment="1">
      <alignment horizontal="right"/>
    </xf>
    <xf numFmtId="0" fontId="3" fillId="9" borderId="2" xfId="0" applyFont="1" applyFill="1" applyBorder="1" applyAlignment="1">
      <alignment horizontal="center"/>
    </xf>
    <xf numFmtId="0" fontId="0" fillId="0" borderId="11" xfId="0" applyBorder="1"/>
    <xf numFmtId="0" fontId="3" fillId="0" borderId="12" xfId="0" applyFont="1" applyBorder="1" applyAlignment="1">
      <alignment horizontal="centerContinuous"/>
    </xf>
    <xf numFmtId="0" fontId="0" fillId="12" borderId="2" xfId="0" applyFill="1" applyBorder="1"/>
    <xf numFmtId="0" fontId="3" fillId="12" borderId="2" xfId="0" applyFont="1" applyFill="1" applyBorder="1" applyAlignment="1">
      <alignment horizontal="center"/>
    </xf>
    <xf numFmtId="0" fontId="3" fillId="13" borderId="2" xfId="0" applyFont="1" applyFill="1" applyBorder="1" applyAlignment="1">
      <alignment horizontal="center"/>
    </xf>
    <xf numFmtId="0" fontId="0" fillId="13" borderId="2" xfId="0" applyFill="1" applyBorder="1" applyAlignment="1">
      <alignment horizontal="center"/>
    </xf>
    <xf numFmtId="0" fontId="0" fillId="3" borderId="2" xfId="0" applyFill="1" applyBorder="1" applyAlignment="1">
      <alignment horizontal="center"/>
    </xf>
    <xf numFmtId="0" fontId="0" fillId="4" borderId="2" xfId="0" applyFill="1" applyBorder="1" applyAlignment="1">
      <alignment horizontal="center"/>
    </xf>
    <xf numFmtId="0" fontId="3" fillId="3" borderId="2" xfId="0" applyFont="1" applyFill="1" applyBorder="1" applyAlignment="1">
      <alignment horizontal="center"/>
    </xf>
    <xf numFmtId="0" fontId="0" fillId="14" borderId="0" xfId="0" applyFill="1"/>
    <xf numFmtId="0" fontId="0" fillId="16" borderId="2" xfId="0" applyFill="1" applyBorder="1" applyAlignment="1">
      <alignment horizontal="center"/>
    </xf>
    <xf numFmtId="0" fontId="0" fillId="17" borderId="2" xfId="0" applyFill="1" applyBorder="1" applyAlignment="1">
      <alignment horizontal="center"/>
    </xf>
    <xf numFmtId="0" fontId="3" fillId="16" borderId="2" xfId="0" applyFont="1" applyFill="1" applyBorder="1" applyAlignment="1">
      <alignment horizontal="center"/>
    </xf>
    <xf numFmtId="0" fontId="0" fillId="17" borderId="2" xfId="0" applyFill="1" applyBorder="1"/>
    <xf numFmtId="0" fontId="5" fillId="19" borderId="2" xfId="0" applyFont="1" applyFill="1" applyBorder="1" applyAlignment="1">
      <alignment horizontal="center"/>
    </xf>
    <xf numFmtId="0" fontId="12" fillId="19" borderId="2" xfId="0" applyFont="1" applyFill="1" applyBorder="1" applyAlignment="1">
      <alignment horizontal="center"/>
    </xf>
    <xf numFmtId="0" fontId="0" fillId="20" borderId="2" xfId="0" applyFill="1" applyBorder="1" applyAlignment="1">
      <alignment horizontal="center"/>
    </xf>
    <xf numFmtId="0" fontId="3" fillId="20" borderId="2" xfId="0" applyFont="1" applyFill="1" applyBorder="1" applyAlignment="1">
      <alignment horizontal="center"/>
    </xf>
    <xf numFmtId="0" fontId="1" fillId="0" borderId="2" xfId="0" applyFont="1" applyBorder="1" applyAlignment="1">
      <alignment horizontal="center"/>
    </xf>
    <xf numFmtId="0" fontId="0" fillId="0" borderId="2" xfId="0" applyBorder="1" applyAlignment="1">
      <alignment horizontal="center"/>
    </xf>
    <xf numFmtId="0" fontId="0" fillId="0" borderId="0" xfId="0" pivotButton="1"/>
    <xf numFmtId="0" fontId="0" fillId="0" borderId="0" xfId="0" applyAlignment="1">
      <alignment horizontal="left"/>
    </xf>
    <xf numFmtId="0" fontId="0" fillId="7" borderId="0" xfId="0" applyFill="1"/>
    <xf numFmtId="0" fontId="0" fillId="5" borderId="0" xfId="0" applyFill="1"/>
    <xf numFmtId="0" fontId="19" fillId="21" borderId="0" xfId="0" applyFont="1" applyFill="1"/>
    <xf numFmtId="0" fontId="0" fillId="21" borderId="0" xfId="0" applyFill="1"/>
    <xf numFmtId="0" fontId="0" fillId="5" borderId="0" xfId="0" applyFill="1" applyAlignment="1">
      <alignment horizontal="center"/>
    </xf>
    <xf numFmtId="0" fontId="0" fillId="7" borderId="0" xfId="0" applyFill="1" applyAlignment="1">
      <alignment horizontal="center"/>
    </xf>
    <xf numFmtId="0" fontId="3" fillId="7" borderId="0" xfId="0" applyFont="1" applyFill="1" applyAlignment="1">
      <alignment horizontal="center"/>
    </xf>
    <xf numFmtId="0" fontId="21" fillId="7" borderId="0" xfId="0" applyFont="1" applyFill="1" applyAlignment="1">
      <alignment horizontal="center"/>
    </xf>
    <xf numFmtId="0" fontId="0" fillId="7" borderId="2" xfId="0" applyFill="1" applyBorder="1" applyAlignment="1">
      <alignment horizontal="center"/>
    </xf>
    <xf numFmtId="0" fontId="21" fillId="5" borderId="2" xfId="0" applyFont="1" applyFill="1" applyBorder="1" applyAlignment="1">
      <alignment horizontal="center"/>
    </xf>
    <xf numFmtId="0" fontId="19" fillId="21" borderId="0" xfId="0" applyFont="1" applyFill="1" applyAlignment="1">
      <alignment horizontal="center"/>
    </xf>
    <xf numFmtId="0" fontId="13" fillId="7" borderId="0" xfId="0" applyFont="1" applyFill="1" applyAlignment="1">
      <alignment horizontal="center"/>
    </xf>
    <xf numFmtId="0" fontId="17" fillId="7" borderId="0" xfId="0" applyFont="1" applyFill="1" applyAlignment="1">
      <alignment horizontal="center"/>
    </xf>
    <xf numFmtId="0" fontId="6" fillId="7" borderId="0" xfId="0" applyFont="1" applyFill="1" applyAlignment="1">
      <alignment horizontal="center"/>
    </xf>
    <xf numFmtId="0" fontId="0" fillId="7" borderId="0" xfId="0" applyFill="1" applyAlignment="1">
      <alignment horizontal="center"/>
    </xf>
    <xf numFmtId="0" fontId="18" fillId="18" borderId="6" xfId="0" applyFont="1" applyFill="1" applyBorder="1" applyAlignment="1">
      <alignment horizontal="center"/>
    </xf>
    <xf numFmtId="0" fontId="12" fillId="18" borderId="7" xfId="0" applyFont="1" applyFill="1" applyBorder="1" applyAlignment="1">
      <alignment horizontal="center"/>
    </xf>
    <xf numFmtId="0" fontId="12" fillId="18" borderId="8" xfId="0" applyFont="1" applyFill="1" applyBorder="1" applyAlignment="1">
      <alignment horizontal="center"/>
    </xf>
    <xf numFmtId="0" fontId="12" fillId="18" borderId="9" xfId="0" applyFont="1" applyFill="1" applyBorder="1" applyAlignment="1">
      <alignment horizontal="center"/>
    </xf>
    <xf numFmtId="0" fontId="12" fillId="18" borderId="3" xfId="0" applyFont="1" applyFill="1" applyBorder="1" applyAlignment="1">
      <alignment horizontal="center"/>
    </xf>
    <xf numFmtId="0" fontId="12" fillId="18" borderId="10" xfId="0" applyFont="1" applyFill="1" applyBorder="1" applyAlignment="1">
      <alignment horizontal="center"/>
    </xf>
    <xf numFmtId="0" fontId="18" fillId="18" borderId="7" xfId="0" applyFont="1" applyFill="1" applyBorder="1" applyAlignment="1">
      <alignment horizontal="center"/>
    </xf>
    <xf numFmtId="0" fontId="18" fillId="18" borderId="8" xfId="0" applyFont="1" applyFill="1" applyBorder="1" applyAlignment="1">
      <alignment horizontal="center"/>
    </xf>
    <xf numFmtId="0" fontId="18" fillId="18" borderId="9" xfId="0" applyFont="1" applyFill="1" applyBorder="1" applyAlignment="1">
      <alignment horizontal="center"/>
    </xf>
    <xf numFmtId="0" fontId="18" fillId="18" borderId="3" xfId="0" applyFont="1" applyFill="1" applyBorder="1" applyAlignment="1">
      <alignment horizontal="center"/>
    </xf>
    <xf numFmtId="0" fontId="18" fillId="18" borderId="10" xfId="0" applyFont="1" applyFill="1" applyBorder="1" applyAlignment="1">
      <alignment horizontal="center"/>
    </xf>
    <xf numFmtId="0" fontId="16" fillId="14" borderId="0" xfId="0" applyFont="1" applyFill="1" applyAlignment="1">
      <alignment horizontal="center"/>
    </xf>
    <xf numFmtId="0" fontId="13" fillId="15" borderId="6" xfId="0" applyFont="1" applyFill="1" applyBorder="1" applyAlignment="1">
      <alignment horizontal="center"/>
    </xf>
    <xf numFmtId="0" fontId="17" fillId="15" borderId="8" xfId="0" applyFont="1" applyFill="1" applyBorder="1" applyAlignment="1">
      <alignment horizontal="center"/>
    </xf>
    <xf numFmtId="0" fontId="17" fillId="15" borderId="9" xfId="0" applyFont="1" applyFill="1" applyBorder="1" applyAlignment="1">
      <alignment horizontal="center"/>
    </xf>
    <xf numFmtId="0" fontId="17" fillId="15" borderId="10" xfId="0" applyFont="1" applyFill="1" applyBorder="1" applyAlignment="1">
      <alignment horizontal="center"/>
    </xf>
    <xf numFmtId="0" fontId="13" fillId="15" borderId="2" xfId="0" applyFont="1" applyFill="1" applyBorder="1" applyAlignment="1">
      <alignment horizontal="center"/>
    </xf>
    <xf numFmtId="0" fontId="4" fillId="2" borderId="3" xfId="0" applyFont="1" applyFill="1" applyBorder="1" applyAlignment="1">
      <alignment horizontal="center"/>
    </xf>
    <xf numFmtId="0" fontId="10" fillId="8" borderId="4" xfId="0" applyFont="1" applyFill="1" applyBorder="1" applyAlignment="1">
      <alignment horizontal="center"/>
    </xf>
    <xf numFmtId="0" fontId="10" fillId="8" borderId="1" xfId="0" applyFont="1" applyFill="1" applyBorder="1" applyAlignment="1">
      <alignment horizontal="center"/>
    </xf>
    <xf numFmtId="0" fontId="10" fillId="8" borderId="5" xfId="0" applyFont="1" applyFill="1" applyBorder="1" applyAlignment="1">
      <alignment horizontal="center"/>
    </xf>
    <xf numFmtId="0" fontId="8" fillId="8" borderId="6" xfId="0" applyFont="1" applyFill="1" applyBorder="1" applyAlignment="1">
      <alignment horizontal="center"/>
    </xf>
    <xf numFmtId="0" fontId="9" fillId="8" borderId="7" xfId="0" applyFont="1" applyFill="1" applyBorder="1" applyAlignment="1">
      <alignment horizontal="center"/>
    </xf>
    <xf numFmtId="0" fontId="9" fillId="8" borderId="8" xfId="0" applyFont="1" applyFill="1" applyBorder="1" applyAlignment="1">
      <alignment horizontal="center"/>
    </xf>
    <xf numFmtId="0" fontId="9" fillId="8" borderId="9" xfId="0" applyFont="1" applyFill="1" applyBorder="1" applyAlignment="1">
      <alignment horizontal="center"/>
    </xf>
    <xf numFmtId="0" fontId="9" fillId="8" borderId="3" xfId="0" applyFont="1" applyFill="1" applyBorder="1" applyAlignment="1">
      <alignment horizontal="center"/>
    </xf>
    <xf numFmtId="0" fontId="9" fillId="8" borderId="10" xfId="0" applyFont="1" applyFill="1" applyBorder="1" applyAlignment="1">
      <alignment horizontal="center"/>
    </xf>
    <xf numFmtId="0" fontId="11" fillId="11" borderId="4" xfId="0" applyFont="1" applyFill="1" applyBorder="1" applyAlignment="1">
      <alignment horizontal="center"/>
    </xf>
    <xf numFmtId="0" fontId="3" fillId="11" borderId="5" xfId="0" applyFont="1" applyFill="1" applyBorder="1" applyAlignment="1">
      <alignment horizontal="center"/>
    </xf>
    <xf numFmtId="0" fontId="12" fillId="11" borderId="4" xfId="0" applyFont="1" applyFill="1" applyBorder="1" applyAlignment="1">
      <alignment horizontal="center"/>
    </xf>
    <xf numFmtId="0" fontId="12" fillId="11" borderId="1" xfId="0" applyFont="1" applyFill="1" applyBorder="1" applyAlignment="1">
      <alignment horizontal="center"/>
    </xf>
    <xf numFmtId="0" fontId="12" fillId="11" borderId="5" xfId="0" applyFont="1" applyFill="1" applyBorder="1" applyAlignment="1">
      <alignment horizontal="center"/>
    </xf>
    <xf numFmtId="0" fontId="12" fillId="11" borderId="6" xfId="0" applyFont="1" applyFill="1" applyBorder="1" applyAlignment="1">
      <alignment horizontal="center"/>
    </xf>
    <xf numFmtId="0" fontId="12" fillId="11" borderId="7" xfId="0" applyFont="1" applyFill="1" applyBorder="1" applyAlignment="1">
      <alignment horizontal="center"/>
    </xf>
    <xf numFmtId="0" fontId="12" fillId="11" borderId="8" xfId="0" applyFont="1" applyFill="1" applyBorder="1" applyAlignment="1">
      <alignment horizontal="center"/>
    </xf>
    <xf numFmtId="0" fontId="12" fillId="11" borderId="9" xfId="0" applyFont="1" applyFill="1" applyBorder="1" applyAlignment="1">
      <alignment horizontal="center"/>
    </xf>
    <xf numFmtId="0" fontId="12" fillId="11" borderId="3" xfId="0" applyFont="1" applyFill="1" applyBorder="1" applyAlignment="1">
      <alignment horizontal="center"/>
    </xf>
    <xf numFmtId="0" fontId="12" fillId="11" borderId="10" xfId="0" applyFont="1" applyFill="1" applyBorder="1" applyAlignment="1">
      <alignment horizontal="center"/>
    </xf>
    <xf numFmtId="0" fontId="12" fillId="11" borderId="2" xfId="0" applyFont="1" applyFill="1" applyBorder="1" applyAlignment="1">
      <alignment horizontal="center"/>
    </xf>
    <xf numFmtId="0" fontId="14" fillId="2" borderId="2" xfId="0" applyFont="1" applyFill="1" applyBorder="1" applyAlignment="1">
      <alignment horizontal="center"/>
    </xf>
    <xf numFmtId="0" fontId="15" fillId="2" borderId="2" xfId="0" applyFont="1" applyFill="1" applyBorder="1" applyAlignment="1">
      <alignment horizontal="center"/>
    </xf>
    <xf numFmtId="0" fontId="15" fillId="15" borderId="2" xfId="0" applyFont="1" applyFill="1" applyBorder="1" applyAlignment="1">
      <alignment horizontal="center"/>
    </xf>
    <xf numFmtId="0" fontId="6" fillId="5" borderId="4" xfId="0" applyFont="1" applyFill="1" applyBorder="1" applyAlignment="1">
      <alignment horizontal="center"/>
    </xf>
    <xf numFmtId="0" fontId="0" fillId="5" borderId="1" xfId="0" applyFill="1" applyBorder="1" applyAlignment="1">
      <alignment horizontal="center"/>
    </xf>
    <xf numFmtId="0" fontId="0" fillId="5" borderId="5" xfId="0" applyFill="1" applyBorder="1" applyAlignment="1">
      <alignment horizontal="center"/>
    </xf>
    <xf numFmtId="0" fontId="4" fillId="5" borderId="6" xfId="0" applyFont="1" applyFill="1" applyBorder="1" applyAlignment="1">
      <alignment horizontal="center"/>
    </xf>
    <xf numFmtId="0" fontId="2" fillId="5" borderId="7" xfId="0" applyFont="1" applyFill="1" applyBorder="1" applyAlignment="1">
      <alignment horizontal="center"/>
    </xf>
    <xf numFmtId="0" fontId="2" fillId="5" borderId="8" xfId="0" applyFont="1" applyFill="1" applyBorder="1" applyAlignment="1">
      <alignment horizontal="center"/>
    </xf>
    <xf numFmtId="0" fontId="2" fillId="5" borderId="9" xfId="0" applyFont="1" applyFill="1" applyBorder="1" applyAlignment="1">
      <alignment horizontal="center"/>
    </xf>
    <xf numFmtId="0" fontId="2" fillId="5" borderId="3" xfId="0" applyFont="1" applyFill="1" applyBorder="1" applyAlignment="1">
      <alignment horizontal="center"/>
    </xf>
    <xf numFmtId="0" fontId="2" fillId="5" borderId="10" xfId="0" applyFont="1" applyFill="1" applyBorder="1" applyAlignment="1">
      <alignment horizontal="center"/>
    </xf>
    <xf numFmtId="0" fontId="0" fillId="6" borderId="4" xfId="0" applyFill="1" applyBorder="1" applyAlignment="1">
      <alignment horizontal="center"/>
    </xf>
    <xf numFmtId="0" fontId="0" fillId="6" borderId="1" xfId="0" applyFill="1" applyBorder="1" applyAlignment="1">
      <alignment horizontal="center"/>
    </xf>
    <xf numFmtId="0" fontId="0" fillId="6" borderId="5" xfId="0" applyFill="1" applyBorder="1" applyAlignment="1">
      <alignment horizontal="center"/>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microsoft.com/office/2007/relationships/slicerCache" Target="slicerCaches/slicerCache5.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8.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microsoft.com/office/2007/relationships/slicerCache" Target="slicerCaches/slicerCache4.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styles" Target="styles.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theme" Target="theme/theme1.xml"/><Relationship Id="rId10" Type="http://schemas.openxmlformats.org/officeDocument/2006/relationships/pivotCacheDefinition" Target="pivotCache/pivotCacheDefinition2.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 Id="rId22" Type="http://schemas.microsoft.com/office/2007/relationships/slicerCache" Target="slicerCaches/slicerCache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[Healthcare_Statistical_Analysis_Template.xlsx]Sheet2!PivotTable3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358705161854749E-2"/>
          <c:y val="0.18416447944007"/>
          <c:w val="0.58613560804899389"/>
          <c:h val="0.65853091280256637"/>
        </c:manualLayout>
      </c:layout>
      <c:barChart>
        <c:barDir val="col"/>
        <c:grouping val="clustered"/>
        <c:varyColors val="0"/>
        <c:ser>
          <c:idx val="0"/>
          <c:order val="0"/>
          <c:tx>
            <c:strRef>
              <c:f>Sheet2!$B$3</c:f>
              <c:strCache>
                <c:ptCount val="1"/>
                <c:pt idx="0">
                  <c:v>Count of Patient_ID</c:v>
                </c:pt>
              </c:strCache>
            </c:strRef>
          </c:tx>
          <c:spPr>
            <a:solidFill>
              <a:schemeClr val="accent1"/>
            </a:solidFill>
            <a:ln>
              <a:noFill/>
            </a:ln>
            <a:effectLst/>
          </c:spPr>
          <c:invertIfNegative val="0"/>
          <c:cat>
            <c:strRef>
              <c:f>Sheet2!$A$4:$A$5</c:f>
              <c:strCache>
                <c:ptCount val="1"/>
                <c:pt idx="0">
                  <c:v>B</c:v>
                </c:pt>
              </c:strCache>
            </c:strRef>
          </c:cat>
          <c:val>
            <c:numRef>
              <c:f>Sheet2!$B$4:$B$5</c:f>
              <c:numCache>
                <c:formatCode>General</c:formatCode>
                <c:ptCount val="1"/>
                <c:pt idx="0">
                  <c:v>1</c:v>
                </c:pt>
              </c:numCache>
            </c:numRef>
          </c:val>
          <c:extLst>
            <c:ext xmlns:c16="http://schemas.microsoft.com/office/drawing/2014/chart" uri="{C3380CC4-5D6E-409C-BE32-E72D297353CC}">
              <c16:uniqueId val="{00000000-CE80-469F-AE1C-C2677A40CE83}"/>
            </c:ext>
          </c:extLst>
        </c:ser>
        <c:ser>
          <c:idx val="1"/>
          <c:order val="1"/>
          <c:tx>
            <c:strRef>
              <c:f>Sheet2!$C$3</c:f>
              <c:strCache>
                <c:ptCount val="1"/>
                <c:pt idx="0">
                  <c:v>Sum of BMI</c:v>
                </c:pt>
              </c:strCache>
            </c:strRef>
          </c:tx>
          <c:spPr>
            <a:solidFill>
              <a:schemeClr val="accent2"/>
            </a:solidFill>
            <a:ln>
              <a:noFill/>
            </a:ln>
            <a:effectLst/>
          </c:spPr>
          <c:invertIfNegative val="0"/>
          <c:cat>
            <c:strRef>
              <c:f>Sheet2!$A$4:$A$5</c:f>
              <c:strCache>
                <c:ptCount val="1"/>
                <c:pt idx="0">
                  <c:v>B</c:v>
                </c:pt>
              </c:strCache>
            </c:strRef>
          </c:cat>
          <c:val>
            <c:numRef>
              <c:f>Sheet2!$C$4:$C$5</c:f>
              <c:numCache>
                <c:formatCode>General</c:formatCode>
                <c:ptCount val="1"/>
                <c:pt idx="0">
                  <c:v>25</c:v>
                </c:pt>
              </c:numCache>
            </c:numRef>
          </c:val>
          <c:extLst>
            <c:ext xmlns:c16="http://schemas.microsoft.com/office/drawing/2014/chart" uri="{C3380CC4-5D6E-409C-BE32-E72D297353CC}">
              <c16:uniqueId val="{00000001-CE80-469F-AE1C-C2677A40CE83}"/>
            </c:ext>
          </c:extLst>
        </c:ser>
        <c:ser>
          <c:idx val="2"/>
          <c:order val="2"/>
          <c:tx>
            <c:strRef>
              <c:f>Sheet2!$D$3</c:f>
              <c:strCache>
                <c:ptCount val="1"/>
                <c:pt idx="0">
                  <c:v>Sum of Age</c:v>
                </c:pt>
              </c:strCache>
            </c:strRef>
          </c:tx>
          <c:spPr>
            <a:solidFill>
              <a:schemeClr val="accent3"/>
            </a:solidFill>
            <a:ln>
              <a:noFill/>
            </a:ln>
            <a:effectLst/>
          </c:spPr>
          <c:invertIfNegative val="0"/>
          <c:cat>
            <c:strRef>
              <c:f>Sheet2!$A$4:$A$5</c:f>
              <c:strCache>
                <c:ptCount val="1"/>
                <c:pt idx="0">
                  <c:v>B</c:v>
                </c:pt>
              </c:strCache>
            </c:strRef>
          </c:cat>
          <c:val>
            <c:numRef>
              <c:f>Sheet2!$D$4:$D$5</c:f>
              <c:numCache>
                <c:formatCode>General</c:formatCode>
                <c:ptCount val="1"/>
                <c:pt idx="0">
                  <c:v>27</c:v>
                </c:pt>
              </c:numCache>
            </c:numRef>
          </c:val>
          <c:extLst>
            <c:ext xmlns:c16="http://schemas.microsoft.com/office/drawing/2014/chart" uri="{C3380CC4-5D6E-409C-BE32-E72D297353CC}">
              <c16:uniqueId val="{00000002-CE80-469F-AE1C-C2677A40CE83}"/>
            </c:ext>
          </c:extLst>
        </c:ser>
        <c:ser>
          <c:idx val="3"/>
          <c:order val="3"/>
          <c:tx>
            <c:strRef>
              <c:f>Sheet2!$E$3</c:f>
              <c:strCache>
                <c:ptCount val="1"/>
                <c:pt idx="0">
                  <c:v>Sum of Blood_Pressure</c:v>
                </c:pt>
              </c:strCache>
            </c:strRef>
          </c:tx>
          <c:spPr>
            <a:solidFill>
              <a:schemeClr val="accent4"/>
            </a:solidFill>
            <a:ln>
              <a:noFill/>
            </a:ln>
            <a:effectLst/>
          </c:spPr>
          <c:invertIfNegative val="0"/>
          <c:cat>
            <c:strRef>
              <c:f>Sheet2!$A$4:$A$5</c:f>
              <c:strCache>
                <c:ptCount val="1"/>
                <c:pt idx="0">
                  <c:v>B</c:v>
                </c:pt>
              </c:strCache>
            </c:strRef>
          </c:cat>
          <c:val>
            <c:numRef>
              <c:f>Sheet2!$E$4:$E$5</c:f>
              <c:numCache>
                <c:formatCode>General</c:formatCode>
                <c:ptCount val="1"/>
                <c:pt idx="0">
                  <c:v>102</c:v>
                </c:pt>
              </c:numCache>
            </c:numRef>
          </c:val>
          <c:extLst>
            <c:ext xmlns:c16="http://schemas.microsoft.com/office/drawing/2014/chart" uri="{C3380CC4-5D6E-409C-BE32-E72D297353CC}">
              <c16:uniqueId val="{00000003-CE80-469F-AE1C-C2677A40CE83}"/>
            </c:ext>
          </c:extLst>
        </c:ser>
        <c:ser>
          <c:idx val="4"/>
          <c:order val="4"/>
          <c:tx>
            <c:strRef>
              <c:f>Sheet2!$F$3</c:f>
              <c:strCache>
                <c:ptCount val="1"/>
                <c:pt idx="0">
                  <c:v>Sum of Cholesterol</c:v>
                </c:pt>
              </c:strCache>
            </c:strRef>
          </c:tx>
          <c:spPr>
            <a:solidFill>
              <a:schemeClr val="accent5"/>
            </a:solidFill>
            <a:ln>
              <a:noFill/>
            </a:ln>
            <a:effectLst/>
          </c:spPr>
          <c:invertIfNegative val="0"/>
          <c:cat>
            <c:strRef>
              <c:f>Sheet2!$A$4:$A$5</c:f>
              <c:strCache>
                <c:ptCount val="1"/>
                <c:pt idx="0">
                  <c:v>B</c:v>
                </c:pt>
              </c:strCache>
            </c:strRef>
          </c:cat>
          <c:val>
            <c:numRef>
              <c:f>Sheet2!$F$4:$F$5</c:f>
              <c:numCache>
                <c:formatCode>General</c:formatCode>
                <c:ptCount val="1"/>
                <c:pt idx="0">
                  <c:v>202</c:v>
                </c:pt>
              </c:numCache>
            </c:numRef>
          </c:val>
          <c:extLst>
            <c:ext xmlns:c16="http://schemas.microsoft.com/office/drawing/2014/chart" uri="{C3380CC4-5D6E-409C-BE32-E72D297353CC}">
              <c16:uniqueId val="{00000004-CE80-469F-AE1C-C2677A40CE83}"/>
            </c:ext>
          </c:extLst>
        </c:ser>
        <c:ser>
          <c:idx val="5"/>
          <c:order val="5"/>
          <c:tx>
            <c:strRef>
              <c:f>Sheet2!$G$3</c:f>
              <c:strCache>
                <c:ptCount val="1"/>
                <c:pt idx="0">
                  <c:v>Sum of Recovery_Score</c:v>
                </c:pt>
              </c:strCache>
            </c:strRef>
          </c:tx>
          <c:spPr>
            <a:solidFill>
              <a:schemeClr val="accent6"/>
            </a:solidFill>
            <a:ln>
              <a:noFill/>
            </a:ln>
            <a:effectLst/>
          </c:spPr>
          <c:invertIfNegative val="0"/>
          <c:cat>
            <c:strRef>
              <c:f>Sheet2!$A$4:$A$5</c:f>
              <c:strCache>
                <c:ptCount val="1"/>
                <c:pt idx="0">
                  <c:v>B</c:v>
                </c:pt>
              </c:strCache>
            </c:strRef>
          </c:cat>
          <c:val>
            <c:numRef>
              <c:f>Sheet2!$G$4:$G$5</c:f>
              <c:numCache>
                <c:formatCode>General</c:formatCode>
                <c:ptCount val="1"/>
                <c:pt idx="0">
                  <c:v>62</c:v>
                </c:pt>
              </c:numCache>
            </c:numRef>
          </c:val>
          <c:extLst>
            <c:ext xmlns:c16="http://schemas.microsoft.com/office/drawing/2014/chart" uri="{C3380CC4-5D6E-409C-BE32-E72D297353CC}">
              <c16:uniqueId val="{00000005-CE80-469F-AE1C-C2677A40CE83}"/>
            </c:ext>
          </c:extLst>
        </c:ser>
        <c:dLbls>
          <c:showLegendKey val="0"/>
          <c:showVal val="0"/>
          <c:showCatName val="0"/>
          <c:showSerName val="0"/>
          <c:showPercent val="0"/>
          <c:showBubbleSize val="0"/>
        </c:dLbls>
        <c:gapWidth val="219"/>
        <c:overlap val="-27"/>
        <c:axId val="555637952"/>
        <c:axId val="519652560"/>
      </c:barChart>
      <c:catAx>
        <c:axId val="55563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652560"/>
        <c:crosses val="autoZero"/>
        <c:auto val="1"/>
        <c:lblAlgn val="ctr"/>
        <c:lblOffset val="100"/>
        <c:noMultiLvlLbl val="0"/>
      </c:catAx>
      <c:valAx>
        <c:axId val="519652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63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BMI</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bar"/>
        <c:grouping val="clustered"/>
        <c:varyColors val="0"/>
        <c:ser>
          <c:idx val="0"/>
          <c:order val="0"/>
          <c:tx>
            <c:strRef>
              <c:f>Healthcare_Data!$B$1</c:f>
              <c:strCache>
                <c:ptCount val="1"/>
                <c:pt idx="0">
                  <c:v>Age</c:v>
                </c:pt>
              </c:strCache>
            </c:strRef>
          </c:tx>
          <c:spPr>
            <a:solidFill>
              <a:schemeClr val="accent4">
                <a:tint val="77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Healthcare_Data!$B$2:$B$40</c:f>
              <c:numCache>
                <c:formatCode>General</c:formatCode>
                <c:ptCount val="39"/>
                <c:pt idx="0">
                  <c:v>24</c:v>
                </c:pt>
                <c:pt idx="1">
                  <c:v>23</c:v>
                </c:pt>
                <c:pt idx="2">
                  <c:v>24</c:v>
                </c:pt>
                <c:pt idx="3">
                  <c:v>25</c:v>
                </c:pt>
                <c:pt idx="4">
                  <c:v>26</c:v>
                </c:pt>
                <c:pt idx="5">
                  <c:v>27</c:v>
                </c:pt>
                <c:pt idx="6">
                  <c:v>28</c:v>
                </c:pt>
                <c:pt idx="7">
                  <c:v>29</c:v>
                </c:pt>
                <c:pt idx="8">
                  <c:v>30</c:v>
                </c:pt>
                <c:pt idx="9">
                  <c:v>31</c:v>
                </c:pt>
                <c:pt idx="10">
                  <c:v>32</c:v>
                </c:pt>
                <c:pt idx="11">
                  <c:v>33</c:v>
                </c:pt>
                <c:pt idx="12">
                  <c:v>34</c:v>
                </c:pt>
                <c:pt idx="13">
                  <c:v>35</c:v>
                </c:pt>
                <c:pt idx="14">
                  <c:v>36</c:v>
                </c:pt>
                <c:pt idx="15">
                  <c:v>37</c:v>
                </c:pt>
                <c:pt idx="16">
                  <c:v>38</c:v>
                </c:pt>
                <c:pt idx="17">
                  <c:v>39</c:v>
                </c:pt>
                <c:pt idx="18">
                  <c:v>40</c:v>
                </c:pt>
                <c:pt idx="19">
                  <c:v>41</c:v>
                </c:pt>
                <c:pt idx="20">
                  <c:v>42</c:v>
                </c:pt>
                <c:pt idx="21">
                  <c:v>43</c:v>
                </c:pt>
                <c:pt idx="22">
                  <c:v>44</c:v>
                </c:pt>
                <c:pt idx="23">
                  <c:v>45</c:v>
                </c:pt>
                <c:pt idx="24">
                  <c:v>46</c:v>
                </c:pt>
                <c:pt idx="25">
                  <c:v>47</c:v>
                </c:pt>
                <c:pt idx="26">
                  <c:v>48</c:v>
                </c:pt>
                <c:pt idx="27">
                  <c:v>49</c:v>
                </c:pt>
                <c:pt idx="28">
                  <c:v>50</c:v>
                </c:pt>
                <c:pt idx="29">
                  <c:v>51</c:v>
                </c:pt>
                <c:pt idx="30">
                  <c:v>52</c:v>
                </c:pt>
                <c:pt idx="31">
                  <c:v>53</c:v>
                </c:pt>
                <c:pt idx="32">
                  <c:v>54</c:v>
                </c:pt>
                <c:pt idx="33">
                  <c:v>55</c:v>
                </c:pt>
                <c:pt idx="34">
                  <c:v>56</c:v>
                </c:pt>
                <c:pt idx="35">
                  <c:v>57</c:v>
                </c:pt>
                <c:pt idx="36">
                  <c:v>58</c:v>
                </c:pt>
                <c:pt idx="37">
                  <c:v>59</c:v>
                </c:pt>
                <c:pt idx="38">
                  <c:v>60</c:v>
                </c:pt>
              </c:numCache>
            </c:numRef>
          </c:val>
          <c:extLst>
            <c:ext xmlns:c16="http://schemas.microsoft.com/office/drawing/2014/chart" uri="{C3380CC4-5D6E-409C-BE32-E72D297353CC}">
              <c16:uniqueId val="{00000000-0ED1-4AFD-9152-875F438B5B39}"/>
            </c:ext>
          </c:extLst>
        </c:ser>
        <c:ser>
          <c:idx val="1"/>
          <c:order val="1"/>
          <c:tx>
            <c:strRef>
              <c:f>Healthcare_Data!$C$1</c:f>
              <c:strCache>
                <c:ptCount val="1"/>
                <c:pt idx="0">
                  <c:v>BMI</c:v>
                </c:pt>
              </c:strCache>
            </c:strRef>
          </c:tx>
          <c:spPr>
            <a:solidFill>
              <a:schemeClr val="accent4">
                <a:shade val="76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Healthcare_Data!$C$2:$C$40</c:f>
              <c:numCache>
                <c:formatCode>General</c:formatCode>
                <c:ptCount val="3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18</c:v>
                </c:pt>
                <c:pt idx="29">
                  <c:v>19</c:v>
                </c:pt>
                <c:pt idx="30">
                  <c:v>20</c:v>
                </c:pt>
                <c:pt idx="31">
                  <c:v>21</c:v>
                </c:pt>
                <c:pt idx="32">
                  <c:v>22</c:v>
                </c:pt>
                <c:pt idx="33">
                  <c:v>23</c:v>
                </c:pt>
                <c:pt idx="34">
                  <c:v>24</c:v>
                </c:pt>
                <c:pt idx="35">
                  <c:v>25</c:v>
                </c:pt>
                <c:pt idx="36">
                  <c:v>26</c:v>
                </c:pt>
                <c:pt idx="37">
                  <c:v>27</c:v>
                </c:pt>
                <c:pt idx="38">
                  <c:v>28</c:v>
                </c:pt>
              </c:numCache>
            </c:numRef>
          </c:val>
          <c:extLst>
            <c:ext xmlns:c16="http://schemas.microsoft.com/office/drawing/2014/chart" uri="{C3380CC4-5D6E-409C-BE32-E72D297353CC}">
              <c16:uniqueId val="{00000001-0ED1-4AFD-9152-875F438B5B39}"/>
            </c:ext>
          </c:extLst>
        </c:ser>
        <c:dLbls>
          <c:dLblPos val="inEnd"/>
          <c:showLegendKey val="0"/>
          <c:showVal val="1"/>
          <c:showCatName val="0"/>
          <c:showSerName val="0"/>
          <c:showPercent val="0"/>
          <c:showBubbleSize val="0"/>
        </c:dLbls>
        <c:gapWidth val="65"/>
        <c:axId val="618790767"/>
        <c:axId val="618792207"/>
      </c:barChart>
      <c:catAx>
        <c:axId val="61879076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8792207"/>
        <c:crosses val="autoZero"/>
        <c:auto val="1"/>
        <c:lblAlgn val="ctr"/>
        <c:lblOffset val="100"/>
        <c:noMultiLvlLbl val="0"/>
      </c:catAx>
      <c:valAx>
        <c:axId val="61879220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8790767"/>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Disease</a:t>
            </a:r>
            <a:r>
              <a:rPr lang="en-IN" baseline="0"/>
              <a:t>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spPr>
            <a:ln w="28575" cap="rnd">
              <a:solidFill>
                <a:schemeClr val="accent4">
                  <a:shade val="65000"/>
                </a:schemeClr>
              </a:solidFill>
              <a:round/>
            </a:ln>
            <a:effectLst/>
          </c:spPr>
          <c:marker>
            <c:symbol val="none"/>
          </c:marker>
          <c:val>
            <c:numRef>
              <c:f>Healthcare_Data!$C$2:$C$50</c:f>
              <c:numCache>
                <c:formatCode>General</c:formatCode>
                <c:ptCount val="4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18</c:v>
                </c:pt>
                <c:pt idx="44">
                  <c:v>19</c:v>
                </c:pt>
                <c:pt idx="45">
                  <c:v>20</c:v>
                </c:pt>
                <c:pt idx="46">
                  <c:v>21</c:v>
                </c:pt>
                <c:pt idx="47">
                  <c:v>22</c:v>
                </c:pt>
                <c:pt idx="48">
                  <c:v>23</c:v>
                </c:pt>
              </c:numCache>
            </c:numRef>
          </c:val>
          <c:smooth val="0"/>
          <c:extLst>
            <c:ext xmlns:c16="http://schemas.microsoft.com/office/drawing/2014/chart" uri="{C3380CC4-5D6E-409C-BE32-E72D297353CC}">
              <c16:uniqueId val="{00000000-6F8C-4146-9576-EE205511BC0B}"/>
            </c:ext>
          </c:extLst>
        </c:ser>
        <c:ser>
          <c:idx val="1"/>
          <c:order val="1"/>
          <c:spPr>
            <a:ln w="28575" cap="rnd">
              <a:solidFill>
                <a:schemeClr val="accent4"/>
              </a:solidFill>
              <a:round/>
            </a:ln>
            <a:effectLst/>
          </c:spPr>
          <c:marker>
            <c:symbol val="none"/>
          </c:marker>
          <c:val>
            <c:numRef>
              <c:f>Healthcare_Data!$D$2:$D$50</c:f>
              <c:numCache>
                <c:formatCode>General</c:formatCode>
                <c:ptCount val="49"/>
                <c:pt idx="0">
                  <c:v>102</c:v>
                </c:pt>
                <c:pt idx="1">
                  <c:v>103</c:v>
                </c:pt>
                <c:pt idx="2">
                  <c:v>104</c:v>
                </c:pt>
                <c:pt idx="3">
                  <c:v>105</c:v>
                </c:pt>
                <c:pt idx="4">
                  <c:v>106</c:v>
                </c:pt>
                <c:pt idx="5">
                  <c:v>107</c:v>
                </c:pt>
                <c:pt idx="6">
                  <c:v>108</c:v>
                </c:pt>
                <c:pt idx="7">
                  <c:v>109</c:v>
                </c:pt>
                <c:pt idx="8">
                  <c:v>110</c:v>
                </c:pt>
                <c:pt idx="9">
                  <c:v>111</c:v>
                </c:pt>
                <c:pt idx="10">
                  <c:v>112</c:v>
                </c:pt>
                <c:pt idx="11">
                  <c:v>113</c:v>
                </c:pt>
                <c:pt idx="12">
                  <c:v>114</c:v>
                </c:pt>
                <c:pt idx="13">
                  <c:v>115</c:v>
                </c:pt>
                <c:pt idx="14">
                  <c:v>116</c:v>
                </c:pt>
                <c:pt idx="15">
                  <c:v>117</c:v>
                </c:pt>
                <c:pt idx="16">
                  <c:v>118</c:v>
                </c:pt>
                <c:pt idx="17">
                  <c:v>119</c:v>
                </c:pt>
                <c:pt idx="18">
                  <c:v>120</c:v>
                </c:pt>
                <c:pt idx="19">
                  <c:v>121</c:v>
                </c:pt>
                <c:pt idx="20">
                  <c:v>122</c:v>
                </c:pt>
                <c:pt idx="21">
                  <c:v>123</c:v>
                </c:pt>
                <c:pt idx="22">
                  <c:v>124</c:v>
                </c:pt>
                <c:pt idx="23">
                  <c:v>125</c:v>
                </c:pt>
                <c:pt idx="24">
                  <c:v>126</c:v>
                </c:pt>
                <c:pt idx="25">
                  <c:v>127</c:v>
                </c:pt>
                <c:pt idx="26">
                  <c:v>128</c:v>
                </c:pt>
                <c:pt idx="27">
                  <c:v>129</c:v>
                </c:pt>
                <c:pt idx="28">
                  <c:v>130</c:v>
                </c:pt>
                <c:pt idx="29">
                  <c:v>131</c:v>
                </c:pt>
                <c:pt idx="30">
                  <c:v>132</c:v>
                </c:pt>
                <c:pt idx="31">
                  <c:v>133</c:v>
                </c:pt>
                <c:pt idx="32">
                  <c:v>134</c:v>
                </c:pt>
                <c:pt idx="33">
                  <c:v>135</c:v>
                </c:pt>
                <c:pt idx="34">
                  <c:v>136</c:v>
                </c:pt>
                <c:pt idx="35">
                  <c:v>137</c:v>
                </c:pt>
                <c:pt idx="36">
                  <c:v>138</c:v>
                </c:pt>
                <c:pt idx="37">
                  <c:v>139</c:v>
                </c:pt>
                <c:pt idx="38">
                  <c:v>140</c:v>
                </c:pt>
                <c:pt idx="39">
                  <c:v>141</c:v>
                </c:pt>
                <c:pt idx="40">
                  <c:v>142</c:v>
                </c:pt>
                <c:pt idx="41">
                  <c:v>143</c:v>
                </c:pt>
                <c:pt idx="42">
                  <c:v>144</c:v>
                </c:pt>
                <c:pt idx="43">
                  <c:v>145</c:v>
                </c:pt>
                <c:pt idx="44">
                  <c:v>146</c:v>
                </c:pt>
                <c:pt idx="45">
                  <c:v>147</c:v>
                </c:pt>
                <c:pt idx="46">
                  <c:v>148</c:v>
                </c:pt>
                <c:pt idx="47">
                  <c:v>149</c:v>
                </c:pt>
                <c:pt idx="48">
                  <c:v>100</c:v>
                </c:pt>
              </c:numCache>
            </c:numRef>
          </c:val>
          <c:smooth val="0"/>
          <c:extLst>
            <c:ext xmlns:c16="http://schemas.microsoft.com/office/drawing/2014/chart" uri="{C3380CC4-5D6E-409C-BE32-E72D297353CC}">
              <c16:uniqueId val="{00000001-6F8C-4146-9576-EE205511BC0B}"/>
            </c:ext>
          </c:extLst>
        </c:ser>
        <c:ser>
          <c:idx val="2"/>
          <c:order val="2"/>
          <c:spPr>
            <a:ln w="28575" cap="rnd">
              <a:solidFill>
                <a:schemeClr val="accent4">
                  <a:tint val="65000"/>
                </a:schemeClr>
              </a:solidFill>
              <a:round/>
            </a:ln>
            <a:effectLst/>
          </c:spPr>
          <c:marker>
            <c:symbol val="none"/>
          </c:marker>
          <c:val>
            <c:numRef>
              <c:f>Healthcare_Data!$E$2:$E$50</c:f>
              <c:numCache>
                <c:formatCode>General</c:formatCode>
                <c:ptCount val="49"/>
                <c:pt idx="0">
                  <c:v>152</c:v>
                </c:pt>
                <c:pt idx="1">
                  <c:v>153</c:v>
                </c:pt>
                <c:pt idx="2">
                  <c:v>154</c:v>
                </c:pt>
                <c:pt idx="3">
                  <c:v>155</c:v>
                </c:pt>
                <c:pt idx="4">
                  <c:v>156</c:v>
                </c:pt>
                <c:pt idx="5">
                  <c:v>157</c:v>
                </c:pt>
                <c:pt idx="6">
                  <c:v>158</c:v>
                </c:pt>
                <c:pt idx="7">
                  <c:v>159</c:v>
                </c:pt>
                <c:pt idx="8">
                  <c:v>160</c:v>
                </c:pt>
                <c:pt idx="9">
                  <c:v>161</c:v>
                </c:pt>
                <c:pt idx="10">
                  <c:v>162</c:v>
                </c:pt>
                <c:pt idx="11">
                  <c:v>163</c:v>
                </c:pt>
                <c:pt idx="12">
                  <c:v>164</c:v>
                </c:pt>
                <c:pt idx="13">
                  <c:v>165</c:v>
                </c:pt>
                <c:pt idx="14">
                  <c:v>166</c:v>
                </c:pt>
                <c:pt idx="15">
                  <c:v>167</c:v>
                </c:pt>
                <c:pt idx="16">
                  <c:v>168</c:v>
                </c:pt>
                <c:pt idx="17">
                  <c:v>169</c:v>
                </c:pt>
                <c:pt idx="18">
                  <c:v>170</c:v>
                </c:pt>
                <c:pt idx="19">
                  <c:v>171</c:v>
                </c:pt>
                <c:pt idx="20">
                  <c:v>172</c:v>
                </c:pt>
                <c:pt idx="21">
                  <c:v>173</c:v>
                </c:pt>
                <c:pt idx="22">
                  <c:v>174</c:v>
                </c:pt>
                <c:pt idx="23">
                  <c:v>175</c:v>
                </c:pt>
                <c:pt idx="24">
                  <c:v>176</c:v>
                </c:pt>
                <c:pt idx="25">
                  <c:v>177</c:v>
                </c:pt>
                <c:pt idx="26">
                  <c:v>178</c:v>
                </c:pt>
                <c:pt idx="27">
                  <c:v>179</c:v>
                </c:pt>
                <c:pt idx="28">
                  <c:v>180</c:v>
                </c:pt>
                <c:pt idx="29">
                  <c:v>181</c:v>
                </c:pt>
                <c:pt idx="30">
                  <c:v>182</c:v>
                </c:pt>
                <c:pt idx="31">
                  <c:v>183</c:v>
                </c:pt>
                <c:pt idx="32">
                  <c:v>184</c:v>
                </c:pt>
                <c:pt idx="33">
                  <c:v>185</c:v>
                </c:pt>
                <c:pt idx="34">
                  <c:v>186</c:v>
                </c:pt>
                <c:pt idx="35">
                  <c:v>187</c:v>
                </c:pt>
                <c:pt idx="36">
                  <c:v>188</c:v>
                </c:pt>
                <c:pt idx="37">
                  <c:v>189</c:v>
                </c:pt>
                <c:pt idx="38">
                  <c:v>190</c:v>
                </c:pt>
                <c:pt idx="39">
                  <c:v>191</c:v>
                </c:pt>
                <c:pt idx="40">
                  <c:v>192</c:v>
                </c:pt>
                <c:pt idx="41">
                  <c:v>193</c:v>
                </c:pt>
                <c:pt idx="42">
                  <c:v>194</c:v>
                </c:pt>
                <c:pt idx="43">
                  <c:v>195</c:v>
                </c:pt>
                <c:pt idx="44">
                  <c:v>196</c:v>
                </c:pt>
                <c:pt idx="45">
                  <c:v>197</c:v>
                </c:pt>
                <c:pt idx="46">
                  <c:v>198</c:v>
                </c:pt>
                <c:pt idx="47">
                  <c:v>199</c:v>
                </c:pt>
                <c:pt idx="48">
                  <c:v>200</c:v>
                </c:pt>
              </c:numCache>
            </c:numRef>
          </c:val>
          <c:smooth val="0"/>
          <c:extLst>
            <c:ext xmlns:c16="http://schemas.microsoft.com/office/drawing/2014/chart" uri="{C3380CC4-5D6E-409C-BE32-E72D297353CC}">
              <c16:uniqueId val="{00000002-6F8C-4146-9576-EE205511BC0B}"/>
            </c:ext>
          </c:extLst>
        </c:ser>
        <c:dLbls>
          <c:showLegendKey val="0"/>
          <c:showVal val="0"/>
          <c:showCatName val="0"/>
          <c:showSerName val="0"/>
          <c:showPercent val="0"/>
          <c:showBubbleSize val="0"/>
        </c:dLbls>
        <c:smooth val="0"/>
        <c:axId val="1072744511"/>
        <c:axId val="613100255"/>
      </c:lineChart>
      <c:catAx>
        <c:axId val="107274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100255"/>
        <c:crosses val="autoZero"/>
        <c:auto val="1"/>
        <c:lblAlgn val="ctr"/>
        <c:lblOffset val="100"/>
        <c:noMultiLvlLbl val="0"/>
      </c:catAx>
      <c:valAx>
        <c:axId val="613100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744511"/>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[Healthcare_Statistical_Analysis_Template.xlsx]Sheet4!PivotTable7</c:name>
    <c:fmtId val="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pivotFmt>
      <c:pivotFmt>
        <c:idx val="18"/>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19"/>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pivotFmt>
      <c:pivotFmt>
        <c:idx val="2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pivotFmt>
      <c:pivotFmt>
        <c:idx val="22"/>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23"/>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pivotFmt>
      <c:pivotFmt>
        <c:idx val="24"/>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pivotFmt>
      <c:pivotFmt>
        <c:idx val="27"/>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28"/>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pivotFmt>
      <c:pivotFmt>
        <c:idx val="29"/>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pivotFmt>
      <c:pivotFmt>
        <c:idx val="3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31"/>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pivotFmt>
    </c:pivotFmts>
    <c:plotArea>
      <c:layout/>
      <c:doughnutChart>
        <c:varyColors val="1"/>
        <c:ser>
          <c:idx val="0"/>
          <c:order val="0"/>
          <c:tx>
            <c:strRef>
              <c:f>Sheet4!$B$1</c:f>
              <c:strCache>
                <c:ptCount val="1"/>
                <c:pt idx="0">
                  <c:v>Sum of Blood_Pressure</c:v>
                </c:pt>
              </c:strCache>
            </c:strRef>
          </c:tx>
          <c:dPt>
            <c:idx val="0"/>
            <c:bubble3D val="0"/>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extLst>
              <c:ext xmlns:c16="http://schemas.microsoft.com/office/drawing/2014/chart" uri="{C3380CC4-5D6E-409C-BE32-E72D297353CC}">
                <c16:uniqueId val="{00000001-2D26-4DA6-BA3A-04930E50DA4C}"/>
              </c:ext>
            </c:extLst>
          </c:dPt>
          <c:dPt>
            <c:idx val="1"/>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3-2D26-4DA6-BA3A-04930E50DA4C}"/>
              </c:ext>
            </c:extLst>
          </c:dPt>
          <c:dPt>
            <c:idx val="2"/>
            <c:bubble3D val="0"/>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extLst>
              <c:ext xmlns:c16="http://schemas.microsoft.com/office/drawing/2014/chart" uri="{C3380CC4-5D6E-409C-BE32-E72D297353CC}">
                <c16:uniqueId val="{00000005-2D26-4DA6-BA3A-04930E50DA4C}"/>
              </c:ext>
            </c:extLst>
          </c:dPt>
          <c:cat>
            <c:strRef>
              <c:f>Sheet4!$A$2:$A$5</c:f>
              <c:strCache>
                <c:ptCount val="3"/>
                <c:pt idx="0">
                  <c:v>A</c:v>
                </c:pt>
                <c:pt idx="1">
                  <c:v>B</c:v>
                </c:pt>
                <c:pt idx="2">
                  <c:v>C</c:v>
                </c:pt>
              </c:strCache>
            </c:strRef>
          </c:cat>
          <c:val>
            <c:numRef>
              <c:f>Sheet4!$B$2:$B$5</c:f>
              <c:numCache>
                <c:formatCode>General</c:formatCode>
                <c:ptCount val="3"/>
                <c:pt idx="0">
                  <c:v>254</c:v>
                </c:pt>
                <c:pt idx="1">
                  <c:v>132</c:v>
                </c:pt>
                <c:pt idx="2">
                  <c:v>224</c:v>
                </c:pt>
              </c:numCache>
            </c:numRef>
          </c:val>
          <c:extLst>
            <c:ext xmlns:c16="http://schemas.microsoft.com/office/drawing/2014/chart" uri="{C3380CC4-5D6E-409C-BE32-E72D297353CC}">
              <c16:uniqueId val="{00000006-2D26-4DA6-BA3A-04930E50DA4C}"/>
            </c:ext>
          </c:extLst>
        </c:ser>
        <c:ser>
          <c:idx val="1"/>
          <c:order val="1"/>
          <c:tx>
            <c:strRef>
              <c:f>Sheet4!$C$1</c:f>
              <c:strCache>
                <c:ptCount val="1"/>
                <c:pt idx="0">
                  <c:v>Sum of Recovery_Score</c:v>
                </c:pt>
              </c:strCache>
            </c:strRef>
          </c:tx>
          <c:dPt>
            <c:idx val="0"/>
            <c:bubble3D val="0"/>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extLst>
              <c:ext xmlns:c16="http://schemas.microsoft.com/office/drawing/2014/chart" uri="{C3380CC4-5D6E-409C-BE32-E72D297353CC}">
                <c16:uniqueId val="{00000008-2D26-4DA6-BA3A-04930E50DA4C}"/>
              </c:ext>
            </c:extLst>
          </c:dPt>
          <c:dPt>
            <c:idx val="1"/>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A-2D26-4DA6-BA3A-04930E50DA4C}"/>
              </c:ext>
            </c:extLst>
          </c:dPt>
          <c:dPt>
            <c:idx val="2"/>
            <c:bubble3D val="0"/>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extLst>
              <c:ext xmlns:c16="http://schemas.microsoft.com/office/drawing/2014/chart" uri="{C3380CC4-5D6E-409C-BE32-E72D297353CC}">
                <c16:uniqueId val="{0000000C-2D26-4DA6-BA3A-04930E50DA4C}"/>
              </c:ext>
            </c:extLst>
          </c:dPt>
          <c:cat>
            <c:strRef>
              <c:f>Sheet4!$A$2:$A$5</c:f>
              <c:strCache>
                <c:ptCount val="3"/>
                <c:pt idx="0">
                  <c:v>A</c:v>
                </c:pt>
                <c:pt idx="1">
                  <c:v>B</c:v>
                </c:pt>
                <c:pt idx="2">
                  <c:v>C</c:v>
                </c:pt>
              </c:strCache>
            </c:strRef>
          </c:cat>
          <c:val>
            <c:numRef>
              <c:f>Sheet4!$C$2:$C$5</c:f>
              <c:numCache>
                <c:formatCode>General</c:formatCode>
                <c:ptCount val="3"/>
                <c:pt idx="0">
                  <c:v>104</c:v>
                </c:pt>
                <c:pt idx="1">
                  <c:v>52</c:v>
                </c:pt>
                <c:pt idx="2">
                  <c:v>104</c:v>
                </c:pt>
              </c:numCache>
            </c:numRef>
          </c:val>
          <c:extLst>
            <c:ext xmlns:c16="http://schemas.microsoft.com/office/drawing/2014/chart" uri="{C3380CC4-5D6E-409C-BE32-E72D297353CC}">
              <c16:uniqueId val="{0000000D-2D26-4DA6-BA3A-04930E50DA4C}"/>
            </c:ext>
          </c:extLst>
        </c:ser>
        <c:ser>
          <c:idx val="2"/>
          <c:order val="2"/>
          <c:tx>
            <c:strRef>
              <c:f>Sheet4!$D$1</c:f>
              <c:strCache>
                <c:ptCount val="1"/>
                <c:pt idx="0">
                  <c:v>Sum of BMI</c:v>
                </c:pt>
              </c:strCache>
            </c:strRef>
          </c:tx>
          <c:dPt>
            <c:idx val="0"/>
            <c:bubble3D val="0"/>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extLst>
              <c:ext xmlns:c16="http://schemas.microsoft.com/office/drawing/2014/chart" uri="{C3380CC4-5D6E-409C-BE32-E72D297353CC}">
                <c16:uniqueId val="{0000000D-6C11-4ED3-8CA3-70D6DDCE11E3}"/>
              </c:ext>
            </c:extLst>
          </c:dPt>
          <c:dPt>
            <c:idx val="1"/>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F-6C11-4ED3-8CA3-70D6DDCE11E3}"/>
              </c:ext>
            </c:extLst>
          </c:dPt>
          <c:dPt>
            <c:idx val="2"/>
            <c:bubble3D val="0"/>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extLst>
              <c:ext xmlns:c16="http://schemas.microsoft.com/office/drawing/2014/chart" uri="{C3380CC4-5D6E-409C-BE32-E72D297353CC}">
                <c16:uniqueId val="{00000011-6C11-4ED3-8CA3-70D6DDCE11E3}"/>
              </c:ext>
            </c:extLst>
          </c:dPt>
          <c:cat>
            <c:strRef>
              <c:f>Sheet4!$A$2:$A$5</c:f>
              <c:strCache>
                <c:ptCount val="3"/>
                <c:pt idx="0">
                  <c:v>A</c:v>
                </c:pt>
                <c:pt idx="1">
                  <c:v>B</c:v>
                </c:pt>
                <c:pt idx="2">
                  <c:v>C</c:v>
                </c:pt>
              </c:strCache>
            </c:strRef>
          </c:cat>
          <c:val>
            <c:numRef>
              <c:f>Sheet4!$D$2:$D$5</c:f>
              <c:numCache>
                <c:formatCode>General</c:formatCode>
                <c:ptCount val="3"/>
                <c:pt idx="0">
                  <c:v>60</c:v>
                </c:pt>
                <c:pt idx="1">
                  <c:v>25</c:v>
                </c:pt>
                <c:pt idx="2">
                  <c:v>40</c:v>
                </c:pt>
              </c:numCache>
            </c:numRef>
          </c:val>
          <c:extLst>
            <c:ext xmlns:c16="http://schemas.microsoft.com/office/drawing/2014/chart" uri="{C3380CC4-5D6E-409C-BE32-E72D297353CC}">
              <c16:uniqueId val="{0000000C-9CBF-4EAC-8CE8-8621FEE34871}"/>
            </c:ext>
          </c:extLst>
        </c:ser>
        <c:ser>
          <c:idx val="3"/>
          <c:order val="3"/>
          <c:tx>
            <c:strRef>
              <c:f>Sheet4!$E$1</c:f>
              <c:strCache>
                <c:ptCount val="1"/>
                <c:pt idx="0">
                  <c:v>Sum of Cholesterol</c:v>
                </c:pt>
              </c:strCache>
            </c:strRef>
          </c:tx>
          <c:dPt>
            <c:idx val="0"/>
            <c:bubble3D val="0"/>
            <c:spPr>
              <a:pattFill prst="ltUpDiag">
                <a:fgClr>
                  <a:schemeClr val="accent4">
                    <a:shade val="65000"/>
                  </a:schemeClr>
                </a:fgClr>
                <a:bgClr>
                  <a:schemeClr val="accent4">
                    <a:shade val="65000"/>
                    <a:lumMod val="20000"/>
                    <a:lumOff val="80000"/>
                  </a:schemeClr>
                </a:bgClr>
              </a:pattFill>
              <a:ln w="19050">
                <a:solidFill>
                  <a:schemeClr val="lt1"/>
                </a:solidFill>
              </a:ln>
              <a:effectLst>
                <a:innerShdw blurRad="114300">
                  <a:schemeClr val="accent4">
                    <a:shade val="65000"/>
                  </a:schemeClr>
                </a:innerShdw>
              </a:effectLst>
            </c:spPr>
            <c:extLst>
              <c:ext xmlns:c16="http://schemas.microsoft.com/office/drawing/2014/chart" uri="{C3380CC4-5D6E-409C-BE32-E72D297353CC}">
                <c16:uniqueId val="{00000013-6C11-4ED3-8CA3-70D6DDCE11E3}"/>
              </c:ext>
            </c:extLst>
          </c:dPt>
          <c:dPt>
            <c:idx val="1"/>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5-6C11-4ED3-8CA3-70D6DDCE11E3}"/>
              </c:ext>
            </c:extLst>
          </c:dPt>
          <c:dPt>
            <c:idx val="2"/>
            <c:bubble3D val="0"/>
            <c:spPr>
              <a:pattFill prst="ltUpDiag">
                <a:fgClr>
                  <a:schemeClr val="accent4">
                    <a:tint val="65000"/>
                  </a:schemeClr>
                </a:fgClr>
                <a:bgClr>
                  <a:schemeClr val="accent4">
                    <a:tint val="65000"/>
                    <a:lumMod val="20000"/>
                    <a:lumOff val="80000"/>
                  </a:schemeClr>
                </a:bgClr>
              </a:pattFill>
              <a:ln w="19050">
                <a:solidFill>
                  <a:schemeClr val="lt1"/>
                </a:solidFill>
              </a:ln>
              <a:effectLst>
                <a:innerShdw blurRad="114300">
                  <a:schemeClr val="accent4">
                    <a:tint val="65000"/>
                  </a:schemeClr>
                </a:innerShdw>
              </a:effectLst>
            </c:spPr>
            <c:extLst>
              <c:ext xmlns:c16="http://schemas.microsoft.com/office/drawing/2014/chart" uri="{C3380CC4-5D6E-409C-BE32-E72D297353CC}">
                <c16:uniqueId val="{00000017-6C11-4ED3-8CA3-70D6DDCE11E3}"/>
              </c:ext>
            </c:extLst>
          </c:dPt>
          <c:cat>
            <c:strRef>
              <c:f>Sheet4!$A$2:$A$5</c:f>
              <c:strCache>
                <c:ptCount val="3"/>
                <c:pt idx="0">
                  <c:v>A</c:v>
                </c:pt>
                <c:pt idx="1">
                  <c:v>B</c:v>
                </c:pt>
                <c:pt idx="2">
                  <c:v>C</c:v>
                </c:pt>
              </c:strCache>
            </c:strRef>
          </c:cat>
          <c:val>
            <c:numRef>
              <c:f>Sheet4!$E$2:$E$5</c:f>
              <c:numCache>
                <c:formatCode>General</c:formatCode>
                <c:ptCount val="3"/>
                <c:pt idx="0">
                  <c:v>344</c:v>
                </c:pt>
                <c:pt idx="1">
                  <c:v>152</c:v>
                </c:pt>
                <c:pt idx="2">
                  <c:v>344</c:v>
                </c:pt>
              </c:numCache>
            </c:numRef>
          </c:val>
          <c:extLst>
            <c:ext xmlns:c16="http://schemas.microsoft.com/office/drawing/2014/chart" uri="{C3380CC4-5D6E-409C-BE32-E72D297353CC}">
              <c16:uniqueId val="{0000000D-9CBF-4EAC-8CE8-8621FEE34871}"/>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smoothMarker"/>
        <c:varyColors val="0"/>
        <c:ser>
          <c:idx val="0"/>
          <c:order val="0"/>
          <c:tx>
            <c:strRef>
              <c:f>Healthcare_Data!$G$1</c:f>
              <c:strCache>
                <c:ptCount val="1"/>
                <c:pt idx="0">
                  <c:v>Recovery_Score</c:v>
                </c:pt>
              </c:strCache>
            </c:strRef>
          </c:tx>
          <c:spPr>
            <a:ln w="22225" cap="rnd">
              <a:solidFill>
                <a:schemeClr val="accent4"/>
              </a:solidFill>
            </a:ln>
            <a:effectLst>
              <a:glow rad="139700">
                <a:schemeClr val="accent4">
                  <a:satMod val="175000"/>
                  <a:alpha val="14000"/>
                </a:schemeClr>
              </a:glow>
            </a:effectLst>
          </c:spPr>
          <c:marker>
            <c:symbol val="circle"/>
            <c:size val="3"/>
            <c:spPr>
              <a:solidFill>
                <a:schemeClr val="accent4">
                  <a:lumMod val="60000"/>
                  <a:lumOff val="40000"/>
                </a:schemeClr>
              </a:solidFill>
              <a:ln>
                <a:noFill/>
              </a:ln>
              <a:effectLst>
                <a:glow rad="63500">
                  <a:schemeClr val="accent4">
                    <a:satMod val="175000"/>
                    <a:alpha val="25000"/>
                  </a:schemeClr>
                </a:glow>
              </a:effectLst>
            </c:spPr>
          </c:marker>
          <c:xVal>
            <c:multiLvlStrRef>
              <c:f>Healthcare_Data!$A$2:$F$20</c:f>
              <c:multiLvlStrCache>
                <c:ptCount val="19"/>
                <c:lvl>
                  <c:pt idx="0">
                    <c:v>C</c:v>
                  </c:pt>
                  <c:pt idx="1">
                    <c:v>A</c:v>
                  </c:pt>
                  <c:pt idx="2">
                    <c:v>B</c:v>
                  </c:pt>
                  <c:pt idx="3">
                    <c:v>C</c:v>
                  </c:pt>
                  <c:pt idx="4">
                    <c:v>A</c:v>
                  </c:pt>
                  <c:pt idx="5">
                    <c:v>B</c:v>
                  </c:pt>
                  <c:pt idx="6">
                    <c:v>C</c:v>
                  </c:pt>
                  <c:pt idx="7">
                    <c:v>A</c:v>
                  </c:pt>
                  <c:pt idx="8">
                    <c:v>B</c:v>
                  </c:pt>
                  <c:pt idx="9">
                    <c:v>C</c:v>
                  </c:pt>
                  <c:pt idx="10">
                    <c:v>A</c:v>
                  </c:pt>
                  <c:pt idx="11">
                    <c:v>B</c:v>
                  </c:pt>
                  <c:pt idx="12">
                    <c:v>C</c:v>
                  </c:pt>
                  <c:pt idx="13">
                    <c:v>A</c:v>
                  </c:pt>
                  <c:pt idx="14">
                    <c:v>B</c:v>
                  </c:pt>
                  <c:pt idx="15">
                    <c:v>C</c:v>
                  </c:pt>
                  <c:pt idx="16">
                    <c:v>A</c:v>
                  </c:pt>
                  <c:pt idx="17">
                    <c:v>B</c:v>
                  </c:pt>
                  <c:pt idx="18">
                    <c:v>C</c:v>
                  </c:pt>
                </c:lvl>
                <c:lvl>
                  <c:pt idx="0">
                    <c:v>152</c:v>
                  </c:pt>
                  <c:pt idx="1">
                    <c:v>153</c:v>
                  </c:pt>
                  <c:pt idx="2">
                    <c:v>154</c:v>
                  </c:pt>
                  <c:pt idx="3">
                    <c:v>155</c:v>
                  </c:pt>
                  <c:pt idx="4">
                    <c:v>156</c:v>
                  </c:pt>
                  <c:pt idx="5">
                    <c:v>157</c:v>
                  </c:pt>
                  <c:pt idx="6">
                    <c:v>158</c:v>
                  </c:pt>
                  <c:pt idx="7">
                    <c:v>159</c:v>
                  </c:pt>
                  <c:pt idx="8">
                    <c:v>160</c:v>
                  </c:pt>
                  <c:pt idx="9">
                    <c:v>161</c:v>
                  </c:pt>
                  <c:pt idx="10">
                    <c:v>162</c:v>
                  </c:pt>
                  <c:pt idx="11">
                    <c:v>163</c:v>
                  </c:pt>
                  <c:pt idx="12">
                    <c:v>164</c:v>
                  </c:pt>
                  <c:pt idx="13">
                    <c:v>165</c:v>
                  </c:pt>
                  <c:pt idx="14">
                    <c:v>166</c:v>
                  </c:pt>
                  <c:pt idx="15">
                    <c:v>167</c:v>
                  </c:pt>
                  <c:pt idx="16">
                    <c:v>168</c:v>
                  </c:pt>
                  <c:pt idx="17">
                    <c:v>169</c:v>
                  </c:pt>
                  <c:pt idx="18">
                    <c:v>170</c:v>
                  </c:pt>
                </c:lvl>
                <c:lvl>
                  <c:pt idx="0">
                    <c:v>102</c:v>
                  </c:pt>
                  <c:pt idx="1">
                    <c:v>103</c:v>
                  </c:pt>
                  <c:pt idx="2">
                    <c:v>104</c:v>
                  </c:pt>
                  <c:pt idx="3">
                    <c:v>105</c:v>
                  </c:pt>
                  <c:pt idx="4">
                    <c:v>106</c:v>
                  </c:pt>
                  <c:pt idx="5">
                    <c:v>107</c:v>
                  </c:pt>
                  <c:pt idx="6">
                    <c:v>108</c:v>
                  </c:pt>
                  <c:pt idx="7">
                    <c:v>109</c:v>
                  </c:pt>
                  <c:pt idx="8">
                    <c:v>110</c:v>
                  </c:pt>
                  <c:pt idx="9">
                    <c:v>111</c:v>
                  </c:pt>
                  <c:pt idx="10">
                    <c:v>112</c:v>
                  </c:pt>
                  <c:pt idx="11">
                    <c:v>113</c:v>
                  </c:pt>
                  <c:pt idx="12">
                    <c:v>114</c:v>
                  </c:pt>
                  <c:pt idx="13">
                    <c:v>115</c:v>
                  </c:pt>
                  <c:pt idx="14">
                    <c:v>116</c:v>
                  </c:pt>
                  <c:pt idx="15">
                    <c:v>117</c:v>
                  </c:pt>
                  <c:pt idx="16">
                    <c:v>118</c:v>
                  </c:pt>
                  <c:pt idx="17">
                    <c:v>119</c:v>
                  </c:pt>
                  <c:pt idx="18">
                    <c:v>120</c:v>
                  </c:pt>
                </c:lvl>
                <c:lvl>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lvl>
                <c:lvl>
                  <c:pt idx="0">
                    <c:v>24</c:v>
                  </c:pt>
                  <c:pt idx="1">
                    <c:v>23</c:v>
                  </c:pt>
                  <c:pt idx="2">
                    <c:v>24</c:v>
                  </c:pt>
                  <c:pt idx="3">
                    <c:v>25</c:v>
                  </c:pt>
                  <c:pt idx="4">
                    <c:v>26</c:v>
                  </c:pt>
                  <c:pt idx="5">
                    <c:v>27</c:v>
                  </c:pt>
                  <c:pt idx="6">
                    <c:v>28</c:v>
                  </c:pt>
                  <c:pt idx="7">
                    <c:v>29</c:v>
                  </c:pt>
                  <c:pt idx="8">
                    <c:v>30</c:v>
                  </c:pt>
                  <c:pt idx="9">
                    <c:v>31</c:v>
                  </c:pt>
                  <c:pt idx="10">
                    <c:v>32</c:v>
                  </c:pt>
                  <c:pt idx="11">
                    <c:v>33</c:v>
                  </c:pt>
                  <c:pt idx="12">
                    <c:v>34</c:v>
                  </c:pt>
                  <c:pt idx="13">
                    <c:v>35</c:v>
                  </c:pt>
                  <c:pt idx="14">
                    <c:v>36</c:v>
                  </c:pt>
                  <c:pt idx="15">
                    <c:v>37</c:v>
                  </c:pt>
                  <c:pt idx="16">
                    <c:v>38</c:v>
                  </c:pt>
                  <c:pt idx="17">
                    <c:v>39</c:v>
                  </c:pt>
                  <c:pt idx="18">
                    <c:v>40</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lvl>
              </c:multiLvlStrCache>
            </c:multiLvlStrRef>
          </c:xVal>
          <c:yVal>
            <c:numRef>
              <c:f>Healthcare_Data!$G$2:$G$20</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1"/>
          <c:extLst>
            <c:ext xmlns:c16="http://schemas.microsoft.com/office/drawing/2014/chart" uri="{C3380CC4-5D6E-409C-BE32-E72D297353CC}">
              <c16:uniqueId val="{00000000-06F4-4C45-96FB-88EC36972EDD}"/>
            </c:ext>
          </c:extLst>
        </c:ser>
        <c:dLbls>
          <c:showLegendKey val="0"/>
          <c:showVal val="0"/>
          <c:showCatName val="0"/>
          <c:showSerName val="0"/>
          <c:showPercent val="0"/>
          <c:showBubbleSize val="0"/>
        </c:dLbls>
        <c:axId val="2100090239"/>
        <c:axId val="2100100319"/>
      </c:scatterChart>
      <c:valAx>
        <c:axId val="2100090239"/>
        <c:scaling>
          <c:orientation val="minMax"/>
        </c:scaling>
        <c:delete val="0"/>
        <c:axPos val="b"/>
        <c:majorGridlines>
          <c:spPr>
            <a:ln w="9525" cap="flat" cmpd="sng" algn="ctr">
              <a:solidFill>
                <a:schemeClr val="dk1">
                  <a:lumMod val="65000"/>
                  <a:lumOff val="35000"/>
                  <a:alpha val="75000"/>
                </a:schemeClr>
              </a:solidFill>
              <a:round/>
            </a:ln>
            <a:effectLst/>
          </c:spPr>
        </c:majorGridlines>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00100319"/>
        <c:crosses val="autoZero"/>
        <c:crossBetween val="midCat"/>
      </c:valAx>
      <c:valAx>
        <c:axId val="210010031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00090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[Healthcare_Statistical_Analysis_Template.xlsx]Sheet6!PivotTable3</c:name>
    <c:fmtId val="10"/>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4"/>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4"/>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lt1"/>
          </a:solidFill>
          <a:ln w="19050">
            <a:solidFill>
              <a:schemeClr val="accent4"/>
            </a:solidFill>
          </a:ln>
          <a:effectLst/>
        </c:spPr>
      </c:pivotFmt>
      <c:pivotFmt>
        <c:idx val="4"/>
        <c:spPr>
          <a:solidFill>
            <a:schemeClr val="lt1"/>
          </a:solidFill>
          <a:ln w="19050">
            <a:solidFill>
              <a:schemeClr val="accent4"/>
            </a:solidFill>
          </a:ln>
          <a:effectLst/>
        </c:spPr>
      </c:pivotFmt>
      <c:pivotFmt>
        <c:idx val="5"/>
        <c:spPr>
          <a:solidFill>
            <a:schemeClr val="lt1"/>
          </a:solidFill>
          <a:ln w="19050">
            <a:solidFill>
              <a:schemeClr val="accent4"/>
            </a:solidFill>
          </a:ln>
          <a:effectLst/>
        </c:spPr>
      </c:pivotFmt>
      <c:pivotFmt>
        <c:idx val="6"/>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lt1"/>
          </a:solidFill>
          <a:ln w="19050">
            <a:solidFill>
              <a:schemeClr val="accent4"/>
            </a:solidFill>
          </a:ln>
          <a:effectLst/>
        </c:spPr>
      </c:pivotFmt>
      <c:pivotFmt>
        <c:idx val="8"/>
        <c:spPr>
          <a:solidFill>
            <a:schemeClr val="lt1"/>
          </a:solidFill>
          <a:ln w="19050">
            <a:solidFill>
              <a:schemeClr val="accent4"/>
            </a:solidFill>
          </a:ln>
          <a:effectLst/>
        </c:spPr>
      </c:pivotFmt>
      <c:pivotFmt>
        <c:idx val="9"/>
        <c:spPr>
          <a:solidFill>
            <a:schemeClr val="lt1"/>
          </a:solidFill>
          <a:ln w="19050">
            <a:solidFill>
              <a:schemeClr val="accent4"/>
            </a:solidFill>
          </a:ln>
          <a:effectLst/>
        </c:spPr>
      </c:pivotFmt>
      <c:pivotFmt>
        <c:idx val="10"/>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lt1"/>
          </a:solidFill>
          <a:ln w="19050">
            <a:solidFill>
              <a:schemeClr val="accent4"/>
            </a:solidFill>
          </a:ln>
          <a:effectLst/>
        </c:spPr>
      </c:pivotFmt>
      <c:pivotFmt>
        <c:idx val="12"/>
        <c:spPr>
          <a:solidFill>
            <a:schemeClr val="lt1"/>
          </a:solidFill>
          <a:ln w="19050">
            <a:solidFill>
              <a:schemeClr val="accent4"/>
            </a:solidFill>
          </a:ln>
          <a:effectLst/>
        </c:spPr>
      </c:pivotFmt>
      <c:pivotFmt>
        <c:idx val="13"/>
        <c:spPr>
          <a:solidFill>
            <a:schemeClr val="lt1"/>
          </a:solidFill>
          <a:ln w="19050">
            <a:solidFill>
              <a:schemeClr val="accent4"/>
            </a:solidFill>
          </a:ln>
          <a:effectLst/>
        </c:spPr>
      </c:pivotFmt>
      <c:pivotFmt>
        <c:idx val="14"/>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lt1"/>
          </a:solidFill>
          <a:ln w="19050">
            <a:solidFill>
              <a:schemeClr val="accent4"/>
            </a:solidFill>
          </a:ln>
          <a:effectLst/>
        </c:spPr>
      </c:pivotFmt>
      <c:pivotFmt>
        <c:idx val="16"/>
        <c:spPr>
          <a:solidFill>
            <a:schemeClr val="lt1"/>
          </a:solidFill>
          <a:ln w="19050">
            <a:solidFill>
              <a:schemeClr val="accent4"/>
            </a:solidFill>
          </a:ln>
          <a:effectLst/>
        </c:spPr>
      </c:pivotFmt>
      <c:pivotFmt>
        <c:idx val="17"/>
        <c:spPr>
          <a:solidFill>
            <a:schemeClr val="lt1"/>
          </a:solidFill>
          <a:ln w="19050">
            <a:solidFill>
              <a:schemeClr val="accent4"/>
            </a:solidFill>
          </a:ln>
          <a:effectLst/>
        </c:spPr>
      </c:pivotFmt>
    </c:pivotFmts>
    <c:plotArea>
      <c:layout/>
      <c:pieChart>
        <c:varyColors val="1"/>
        <c:ser>
          <c:idx val="0"/>
          <c:order val="0"/>
          <c:tx>
            <c:strRef>
              <c:f>Sheet6!$B$3</c:f>
              <c:strCache>
                <c:ptCount val="1"/>
                <c:pt idx="0">
                  <c:v>Sum of Age</c:v>
                </c:pt>
              </c:strCache>
            </c:strRef>
          </c:tx>
          <c:spPr>
            <a:solidFill>
              <a:schemeClr val="lt1"/>
            </a:solidFill>
            <a:ln w="19050">
              <a:solidFill>
                <a:schemeClr val="accent4"/>
              </a:solidFill>
            </a:ln>
            <a:effectLst/>
          </c:spPr>
          <c:dPt>
            <c:idx val="0"/>
            <c:bubble3D val="0"/>
            <c:spPr>
              <a:solidFill>
                <a:schemeClr val="lt1"/>
              </a:solidFill>
              <a:ln w="19050">
                <a:solidFill>
                  <a:schemeClr val="accent4"/>
                </a:solidFill>
              </a:ln>
              <a:effectLst/>
            </c:spPr>
            <c:extLst>
              <c:ext xmlns:c16="http://schemas.microsoft.com/office/drawing/2014/chart" uri="{C3380CC4-5D6E-409C-BE32-E72D297353CC}">
                <c16:uniqueId val="{00000001-9047-4B46-955F-07C2AA5C0198}"/>
              </c:ext>
            </c:extLst>
          </c:dPt>
          <c:dPt>
            <c:idx val="1"/>
            <c:bubble3D val="0"/>
            <c:spPr>
              <a:solidFill>
                <a:schemeClr val="lt1"/>
              </a:solidFill>
              <a:ln w="19050">
                <a:solidFill>
                  <a:schemeClr val="accent4"/>
                </a:solidFill>
              </a:ln>
              <a:effectLst/>
            </c:spPr>
            <c:extLst>
              <c:ext xmlns:c16="http://schemas.microsoft.com/office/drawing/2014/chart" uri="{C3380CC4-5D6E-409C-BE32-E72D297353CC}">
                <c16:uniqueId val="{00000003-9047-4B46-955F-07C2AA5C0198}"/>
              </c:ext>
            </c:extLst>
          </c:dPt>
          <c:dPt>
            <c:idx val="2"/>
            <c:bubble3D val="0"/>
            <c:spPr>
              <a:solidFill>
                <a:schemeClr val="lt1"/>
              </a:solidFill>
              <a:ln w="19050">
                <a:solidFill>
                  <a:schemeClr val="accent4"/>
                </a:solidFill>
              </a:ln>
              <a:effectLst/>
            </c:spPr>
            <c:extLst>
              <c:ext xmlns:c16="http://schemas.microsoft.com/office/drawing/2014/chart" uri="{C3380CC4-5D6E-409C-BE32-E72D297353CC}">
                <c16:uniqueId val="{00000005-9047-4B46-955F-07C2AA5C019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4">
                      <a:lumMod val="60000"/>
                      <a:lumOff val="40000"/>
                    </a:schemeClr>
                  </a:solidFill>
                </a:ln>
                <a:effectLst/>
              </c:spPr>
            </c:leaderLines>
            <c:extLst>
              <c:ext xmlns:c15="http://schemas.microsoft.com/office/drawing/2012/chart" uri="{CE6537A1-D6FC-4f65-9D91-7224C49458BB}"/>
            </c:extLst>
          </c:dLbls>
          <c:cat>
            <c:strRef>
              <c:f>Sheet6!$A$4:$A$7</c:f>
              <c:strCache>
                <c:ptCount val="3"/>
                <c:pt idx="0">
                  <c:v>A</c:v>
                </c:pt>
                <c:pt idx="1">
                  <c:v>B</c:v>
                </c:pt>
                <c:pt idx="2">
                  <c:v>C</c:v>
                </c:pt>
              </c:strCache>
            </c:strRef>
          </c:cat>
          <c:val>
            <c:numRef>
              <c:f>Sheet6!$B$4:$B$7</c:f>
              <c:numCache>
                <c:formatCode>General</c:formatCode>
                <c:ptCount val="3"/>
                <c:pt idx="0">
                  <c:v>2684</c:v>
                </c:pt>
                <c:pt idx="1">
                  <c:v>2709</c:v>
                </c:pt>
                <c:pt idx="2">
                  <c:v>2799</c:v>
                </c:pt>
              </c:numCache>
            </c:numRef>
          </c:val>
          <c:extLst>
            <c:ext xmlns:c16="http://schemas.microsoft.com/office/drawing/2014/chart" uri="{C3380CC4-5D6E-409C-BE32-E72D297353CC}">
              <c16:uniqueId val="{00000006-9047-4B46-955F-07C2AA5C0198}"/>
            </c:ext>
          </c:extLst>
        </c:ser>
        <c:ser>
          <c:idx val="1"/>
          <c:order val="1"/>
          <c:tx>
            <c:strRef>
              <c:f>Sheet6!$C$3</c:f>
              <c:strCache>
                <c:ptCount val="1"/>
                <c:pt idx="0">
                  <c:v>Sum of BMI</c:v>
                </c:pt>
              </c:strCache>
            </c:strRef>
          </c:tx>
          <c:spPr>
            <a:solidFill>
              <a:schemeClr val="lt1"/>
            </a:solidFill>
            <a:ln w="19050">
              <a:solidFill>
                <a:schemeClr val="accent4"/>
              </a:solidFill>
            </a:ln>
            <a:effectLst/>
          </c:spPr>
          <c:dPt>
            <c:idx val="0"/>
            <c:bubble3D val="0"/>
            <c:spPr>
              <a:solidFill>
                <a:schemeClr val="lt1"/>
              </a:solidFill>
              <a:ln w="19050">
                <a:solidFill>
                  <a:schemeClr val="accent4"/>
                </a:solidFill>
              </a:ln>
              <a:effectLst/>
            </c:spPr>
            <c:extLst>
              <c:ext xmlns:c16="http://schemas.microsoft.com/office/drawing/2014/chart" uri="{C3380CC4-5D6E-409C-BE32-E72D297353CC}">
                <c16:uniqueId val="{00000008-9047-4B46-955F-07C2AA5C0198}"/>
              </c:ext>
            </c:extLst>
          </c:dPt>
          <c:dPt>
            <c:idx val="1"/>
            <c:bubble3D val="0"/>
            <c:spPr>
              <a:solidFill>
                <a:schemeClr val="lt1"/>
              </a:solidFill>
              <a:ln w="19050">
                <a:solidFill>
                  <a:schemeClr val="accent4"/>
                </a:solidFill>
              </a:ln>
              <a:effectLst/>
            </c:spPr>
            <c:extLst>
              <c:ext xmlns:c16="http://schemas.microsoft.com/office/drawing/2014/chart" uri="{C3380CC4-5D6E-409C-BE32-E72D297353CC}">
                <c16:uniqueId val="{0000000A-9047-4B46-955F-07C2AA5C0198}"/>
              </c:ext>
            </c:extLst>
          </c:dPt>
          <c:dPt>
            <c:idx val="2"/>
            <c:bubble3D val="0"/>
            <c:spPr>
              <a:solidFill>
                <a:schemeClr val="lt1"/>
              </a:solidFill>
              <a:ln w="19050">
                <a:solidFill>
                  <a:schemeClr val="accent4"/>
                </a:solidFill>
              </a:ln>
              <a:effectLst/>
            </c:spPr>
            <c:extLst>
              <c:ext xmlns:c16="http://schemas.microsoft.com/office/drawing/2014/chart" uri="{C3380CC4-5D6E-409C-BE32-E72D297353CC}">
                <c16:uniqueId val="{0000000C-9047-4B46-955F-07C2AA5C019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4">
                      <a:lumMod val="60000"/>
                      <a:lumOff val="40000"/>
                    </a:schemeClr>
                  </a:solidFill>
                </a:ln>
                <a:effectLst/>
              </c:spPr>
            </c:leaderLines>
            <c:extLst>
              <c:ext xmlns:c15="http://schemas.microsoft.com/office/drawing/2012/chart" uri="{CE6537A1-D6FC-4f65-9D91-7224C49458BB}"/>
            </c:extLst>
          </c:dLbls>
          <c:cat>
            <c:strRef>
              <c:f>Sheet6!$A$4:$A$7</c:f>
              <c:strCache>
                <c:ptCount val="3"/>
                <c:pt idx="0">
                  <c:v>A</c:v>
                </c:pt>
                <c:pt idx="1">
                  <c:v>B</c:v>
                </c:pt>
                <c:pt idx="2">
                  <c:v>C</c:v>
                </c:pt>
              </c:strCache>
            </c:strRef>
          </c:cat>
          <c:val>
            <c:numRef>
              <c:f>Sheet6!$C$4:$C$7</c:f>
              <c:numCache>
                <c:formatCode>General</c:formatCode>
                <c:ptCount val="3"/>
                <c:pt idx="0">
                  <c:v>1605</c:v>
                </c:pt>
                <c:pt idx="1">
                  <c:v>1647</c:v>
                </c:pt>
                <c:pt idx="2">
                  <c:v>1733</c:v>
                </c:pt>
              </c:numCache>
            </c:numRef>
          </c:val>
          <c:extLst>
            <c:ext xmlns:c16="http://schemas.microsoft.com/office/drawing/2014/chart" uri="{C3380CC4-5D6E-409C-BE32-E72D297353CC}">
              <c16:uniqueId val="{0000000D-9047-4B46-955F-07C2AA5C0198}"/>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9525" cap="flat" cmpd="sng" algn="ctr">
      <a:solidFill>
        <a:schemeClr val="accent4"/>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[Healthcare_Statistical_Analysis_Template.xlsx]Sheet4!PivotTable7</c:name>
    <c:fmtId val="2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Sheet4!$B$1</c:f>
              <c:strCache>
                <c:ptCount val="1"/>
                <c:pt idx="0">
                  <c:v>Sum of Blood_Pressure</c:v>
                </c:pt>
              </c:strCache>
            </c:strRef>
          </c:tx>
          <c:spPr>
            <a:solidFill>
              <a:schemeClr val="accent4">
                <a:shade val="58000"/>
                <a:alpha val="85000"/>
              </a:schemeClr>
            </a:solidFill>
            <a:ln w="9525" cap="flat" cmpd="sng" algn="ctr">
              <a:solidFill>
                <a:schemeClr val="accent4">
                  <a:shade val="58000"/>
                  <a:lumMod val="75000"/>
                </a:schemeClr>
              </a:solidFill>
              <a:round/>
            </a:ln>
            <a:effectLst/>
            <a:sp3d contourW="9525">
              <a:contourClr>
                <a:schemeClr val="accent4">
                  <a:shade val="58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Sheet4!$A$2:$A$5</c:f>
              <c:strCache>
                <c:ptCount val="3"/>
                <c:pt idx="0">
                  <c:v>A</c:v>
                </c:pt>
                <c:pt idx="1">
                  <c:v>B</c:v>
                </c:pt>
                <c:pt idx="2">
                  <c:v>C</c:v>
                </c:pt>
              </c:strCache>
            </c:strRef>
          </c:cat>
          <c:val>
            <c:numRef>
              <c:f>Sheet4!$B$2:$B$5</c:f>
              <c:numCache>
                <c:formatCode>General</c:formatCode>
                <c:ptCount val="3"/>
                <c:pt idx="0">
                  <c:v>254</c:v>
                </c:pt>
                <c:pt idx="1">
                  <c:v>132</c:v>
                </c:pt>
                <c:pt idx="2">
                  <c:v>224</c:v>
                </c:pt>
              </c:numCache>
            </c:numRef>
          </c:val>
          <c:extLst>
            <c:ext xmlns:c16="http://schemas.microsoft.com/office/drawing/2014/chart" uri="{C3380CC4-5D6E-409C-BE32-E72D297353CC}">
              <c16:uniqueId val="{00000000-A392-4FAB-80BF-26A95DF2B3AB}"/>
            </c:ext>
          </c:extLst>
        </c:ser>
        <c:ser>
          <c:idx val="1"/>
          <c:order val="1"/>
          <c:tx>
            <c:strRef>
              <c:f>Sheet4!$C$1</c:f>
              <c:strCache>
                <c:ptCount val="1"/>
                <c:pt idx="0">
                  <c:v>Sum of Recovery_Score</c:v>
                </c:pt>
              </c:strCache>
            </c:strRef>
          </c:tx>
          <c:spPr>
            <a:solidFill>
              <a:schemeClr val="accent4">
                <a:shade val="86000"/>
                <a:alpha val="85000"/>
              </a:schemeClr>
            </a:solidFill>
            <a:ln w="9525" cap="flat" cmpd="sng" algn="ctr">
              <a:solidFill>
                <a:schemeClr val="accent4">
                  <a:shade val="86000"/>
                  <a:lumMod val="75000"/>
                </a:schemeClr>
              </a:solidFill>
              <a:round/>
            </a:ln>
            <a:effectLst/>
            <a:sp3d contourW="9525">
              <a:contourClr>
                <a:schemeClr val="accent4">
                  <a:shade val="86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Sheet4!$A$2:$A$5</c:f>
              <c:strCache>
                <c:ptCount val="3"/>
                <c:pt idx="0">
                  <c:v>A</c:v>
                </c:pt>
                <c:pt idx="1">
                  <c:v>B</c:v>
                </c:pt>
                <c:pt idx="2">
                  <c:v>C</c:v>
                </c:pt>
              </c:strCache>
            </c:strRef>
          </c:cat>
          <c:val>
            <c:numRef>
              <c:f>Sheet4!$C$2:$C$5</c:f>
              <c:numCache>
                <c:formatCode>General</c:formatCode>
                <c:ptCount val="3"/>
                <c:pt idx="0">
                  <c:v>104</c:v>
                </c:pt>
                <c:pt idx="1">
                  <c:v>52</c:v>
                </c:pt>
                <c:pt idx="2">
                  <c:v>104</c:v>
                </c:pt>
              </c:numCache>
            </c:numRef>
          </c:val>
          <c:extLst>
            <c:ext xmlns:c16="http://schemas.microsoft.com/office/drawing/2014/chart" uri="{C3380CC4-5D6E-409C-BE32-E72D297353CC}">
              <c16:uniqueId val="{00000001-A392-4FAB-80BF-26A95DF2B3AB}"/>
            </c:ext>
          </c:extLst>
        </c:ser>
        <c:ser>
          <c:idx val="2"/>
          <c:order val="2"/>
          <c:tx>
            <c:strRef>
              <c:f>Sheet4!$D$1</c:f>
              <c:strCache>
                <c:ptCount val="1"/>
                <c:pt idx="0">
                  <c:v>Sum of BMI</c:v>
                </c:pt>
              </c:strCache>
            </c:strRef>
          </c:tx>
          <c:spPr>
            <a:solidFill>
              <a:schemeClr val="accent4">
                <a:tint val="86000"/>
                <a:alpha val="85000"/>
              </a:schemeClr>
            </a:solidFill>
            <a:ln w="9525" cap="flat" cmpd="sng" algn="ctr">
              <a:solidFill>
                <a:schemeClr val="accent4">
                  <a:tint val="86000"/>
                  <a:lumMod val="75000"/>
                </a:schemeClr>
              </a:solidFill>
              <a:round/>
            </a:ln>
            <a:effectLst/>
            <a:sp3d contourW="9525">
              <a:contourClr>
                <a:schemeClr val="accent4">
                  <a:tint val="86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Sheet4!$A$2:$A$5</c:f>
              <c:strCache>
                <c:ptCount val="3"/>
                <c:pt idx="0">
                  <c:v>A</c:v>
                </c:pt>
                <c:pt idx="1">
                  <c:v>B</c:v>
                </c:pt>
                <c:pt idx="2">
                  <c:v>C</c:v>
                </c:pt>
              </c:strCache>
            </c:strRef>
          </c:cat>
          <c:val>
            <c:numRef>
              <c:f>Sheet4!$D$2:$D$5</c:f>
              <c:numCache>
                <c:formatCode>General</c:formatCode>
                <c:ptCount val="3"/>
                <c:pt idx="0">
                  <c:v>60</c:v>
                </c:pt>
                <c:pt idx="1">
                  <c:v>25</c:v>
                </c:pt>
                <c:pt idx="2">
                  <c:v>40</c:v>
                </c:pt>
              </c:numCache>
            </c:numRef>
          </c:val>
          <c:extLst>
            <c:ext xmlns:c16="http://schemas.microsoft.com/office/drawing/2014/chart" uri="{C3380CC4-5D6E-409C-BE32-E72D297353CC}">
              <c16:uniqueId val="{00000002-A392-4FAB-80BF-26A95DF2B3AB}"/>
            </c:ext>
          </c:extLst>
        </c:ser>
        <c:ser>
          <c:idx val="3"/>
          <c:order val="3"/>
          <c:tx>
            <c:strRef>
              <c:f>Sheet4!$E$1</c:f>
              <c:strCache>
                <c:ptCount val="1"/>
                <c:pt idx="0">
                  <c:v>Sum of Cholesterol</c:v>
                </c:pt>
              </c:strCache>
            </c:strRef>
          </c:tx>
          <c:spPr>
            <a:solidFill>
              <a:schemeClr val="accent4">
                <a:tint val="58000"/>
                <a:alpha val="85000"/>
              </a:schemeClr>
            </a:solidFill>
            <a:ln w="9525" cap="flat" cmpd="sng" algn="ctr">
              <a:solidFill>
                <a:schemeClr val="accent4">
                  <a:tint val="58000"/>
                  <a:lumMod val="75000"/>
                </a:schemeClr>
              </a:solidFill>
              <a:round/>
            </a:ln>
            <a:effectLst/>
            <a:sp3d contourW="9525">
              <a:contourClr>
                <a:schemeClr val="accent4">
                  <a:tint val="58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Sheet4!$A$2:$A$5</c:f>
              <c:strCache>
                <c:ptCount val="3"/>
                <c:pt idx="0">
                  <c:v>A</c:v>
                </c:pt>
                <c:pt idx="1">
                  <c:v>B</c:v>
                </c:pt>
                <c:pt idx="2">
                  <c:v>C</c:v>
                </c:pt>
              </c:strCache>
            </c:strRef>
          </c:cat>
          <c:val>
            <c:numRef>
              <c:f>Sheet4!$E$2:$E$5</c:f>
              <c:numCache>
                <c:formatCode>General</c:formatCode>
                <c:ptCount val="3"/>
                <c:pt idx="0">
                  <c:v>344</c:v>
                </c:pt>
                <c:pt idx="1">
                  <c:v>152</c:v>
                </c:pt>
                <c:pt idx="2">
                  <c:v>344</c:v>
                </c:pt>
              </c:numCache>
            </c:numRef>
          </c:val>
          <c:extLst>
            <c:ext xmlns:c16="http://schemas.microsoft.com/office/drawing/2014/chart" uri="{C3380CC4-5D6E-409C-BE32-E72D297353CC}">
              <c16:uniqueId val="{00000003-A392-4FAB-80BF-26A95DF2B3AB}"/>
            </c:ext>
          </c:extLst>
        </c:ser>
        <c:dLbls>
          <c:showLegendKey val="0"/>
          <c:showVal val="1"/>
          <c:showCatName val="0"/>
          <c:showSerName val="0"/>
          <c:showPercent val="0"/>
          <c:showBubbleSize val="0"/>
        </c:dLbls>
        <c:gapWidth val="65"/>
        <c:shape val="box"/>
        <c:axId val="861537919"/>
        <c:axId val="861538399"/>
        <c:axId val="0"/>
      </c:bar3DChart>
      <c:catAx>
        <c:axId val="8615379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61538399"/>
        <c:crosses val="autoZero"/>
        <c:auto val="1"/>
        <c:lblAlgn val="ctr"/>
        <c:lblOffset val="100"/>
        <c:noMultiLvlLbl val="0"/>
      </c:catAx>
      <c:valAx>
        <c:axId val="861538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6153791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[Healthcare_Statistical_Analysis_Template.xlsx]Sheet3!PivotTable5</c:name>
    <c:fmtId val="11"/>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4">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51956984177916"/>
          <c:y val="0.21667899761579063"/>
          <c:w val="0.49178869701290034"/>
          <c:h val="0.47834624402033782"/>
        </c:manualLayout>
      </c:layout>
      <c:barChart>
        <c:barDir val="col"/>
        <c:grouping val="clustered"/>
        <c:varyColors val="0"/>
        <c:ser>
          <c:idx val="0"/>
          <c:order val="0"/>
          <c:tx>
            <c:strRef>
              <c:f>Sheet3!$B$1</c:f>
              <c:strCache>
                <c:ptCount val="1"/>
                <c:pt idx="0">
                  <c:v>Sum of Age</c:v>
                </c:pt>
              </c:strCache>
            </c:strRef>
          </c:tx>
          <c:spPr>
            <a:solidFill>
              <a:schemeClr val="accent4">
                <a:shade val="58000"/>
                <a:alpha val="70000"/>
              </a:schemeClr>
            </a:solidFill>
            <a:ln>
              <a:noFill/>
            </a:ln>
            <a:effectLst/>
          </c:spPr>
          <c:invertIfNegative val="0"/>
          <c:cat>
            <c:strRef>
              <c:f>Sheet3!$A$2:$A$5</c:f>
              <c:strCache>
                <c:ptCount val="3"/>
                <c:pt idx="0">
                  <c:v>A</c:v>
                </c:pt>
                <c:pt idx="1">
                  <c:v>B</c:v>
                </c:pt>
                <c:pt idx="2">
                  <c:v>C</c:v>
                </c:pt>
              </c:strCache>
            </c:strRef>
          </c:cat>
          <c:val>
            <c:numRef>
              <c:f>Sheet3!$B$2:$B$5</c:f>
              <c:numCache>
                <c:formatCode>General</c:formatCode>
                <c:ptCount val="3"/>
                <c:pt idx="0">
                  <c:v>32</c:v>
                </c:pt>
                <c:pt idx="1">
                  <c:v>27</c:v>
                </c:pt>
                <c:pt idx="2">
                  <c:v>59</c:v>
                </c:pt>
              </c:numCache>
            </c:numRef>
          </c:val>
          <c:extLst>
            <c:ext xmlns:c16="http://schemas.microsoft.com/office/drawing/2014/chart" uri="{C3380CC4-5D6E-409C-BE32-E72D297353CC}">
              <c16:uniqueId val="{00000000-031B-4426-9657-71A06EF9E905}"/>
            </c:ext>
          </c:extLst>
        </c:ser>
        <c:ser>
          <c:idx val="1"/>
          <c:order val="1"/>
          <c:tx>
            <c:strRef>
              <c:f>Sheet3!$C$1</c:f>
              <c:strCache>
                <c:ptCount val="1"/>
                <c:pt idx="0">
                  <c:v>Sum of BMI</c:v>
                </c:pt>
              </c:strCache>
            </c:strRef>
          </c:tx>
          <c:spPr>
            <a:solidFill>
              <a:schemeClr val="accent4">
                <a:shade val="86000"/>
                <a:alpha val="70000"/>
              </a:schemeClr>
            </a:solidFill>
            <a:ln>
              <a:noFill/>
            </a:ln>
            <a:effectLst/>
          </c:spPr>
          <c:invertIfNegative val="0"/>
          <c:cat>
            <c:strRef>
              <c:f>Sheet3!$A$2:$A$5</c:f>
              <c:strCache>
                <c:ptCount val="3"/>
                <c:pt idx="0">
                  <c:v>A</c:v>
                </c:pt>
                <c:pt idx="1">
                  <c:v>B</c:v>
                </c:pt>
                <c:pt idx="2">
                  <c:v>C</c:v>
                </c:pt>
              </c:strCache>
            </c:strRef>
          </c:cat>
          <c:val>
            <c:numRef>
              <c:f>Sheet3!$C$2:$C$5</c:f>
              <c:numCache>
                <c:formatCode>General</c:formatCode>
                <c:ptCount val="3"/>
                <c:pt idx="0">
                  <c:v>30</c:v>
                </c:pt>
                <c:pt idx="1">
                  <c:v>25</c:v>
                </c:pt>
                <c:pt idx="2">
                  <c:v>40</c:v>
                </c:pt>
              </c:numCache>
            </c:numRef>
          </c:val>
          <c:extLst>
            <c:ext xmlns:c16="http://schemas.microsoft.com/office/drawing/2014/chart" uri="{C3380CC4-5D6E-409C-BE32-E72D297353CC}">
              <c16:uniqueId val="{00000001-031B-4426-9657-71A06EF9E905}"/>
            </c:ext>
          </c:extLst>
        </c:ser>
        <c:ser>
          <c:idx val="2"/>
          <c:order val="2"/>
          <c:tx>
            <c:strRef>
              <c:f>Sheet3!$D$1</c:f>
              <c:strCache>
                <c:ptCount val="1"/>
                <c:pt idx="0">
                  <c:v>Sum of Blood_Pressure</c:v>
                </c:pt>
              </c:strCache>
            </c:strRef>
          </c:tx>
          <c:spPr>
            <a:solidFill>
              <a:schemeClr val="accent4">
                <a:tint val="86000"/>
                <a:alpha val="70000"/>
              </a:schemeClr>
            </a:solidFill>
            <a:ln>
              <a:noFill/>
            </a:ln>
            <a:effectLst/>
          </c:spPr>
          <c:invertIfNegative val="0"/>
          <c:cat>
            <c:strRef>
              <c:f>Sheet3!$A$2:$A$5</c:f>
              <c:strCache>
                <c:ptCount val="3"/>
                <c:pt idx="0">
                  <c:v>A</c:v>
                </c:pt>
                <c:pt idx="1">
                  <c:v>B</c:v>
                </c:pt>
                <c:pt idx="2">
                  <c:v>C</c:v>
                </c:pt>
              </c:strCache>
            </c:strRef>
          </c:cat>
          <c:val>
            <c:numRef>
              <c:f>Sheet3!$D$2:$D$5</c:f>
              <c:numCache>
                <c:formatCode>General</c:formatCode>
                <c:ptCount val="3"/>
                <c:pt idx="0">
                  <c:v>102</c:v>
                </c:pt>
                <c:pt idx="1">
                  <c:v>102</c:v>
                </c:pt>
                <c:pt idx="2">
                  <c:v>204</c:v>
                </c:pt>
              </c:numCache>
            </c:numRef>
          </c:val>
          <c:extLst>
            <c:ext xmlns:c16="http://schemas.microsoft.com/office/drawing/2014/chart" uri="{C3380CC4-5D6E-409C-BE32-E72D297353CC}">
              <c16:uniqueId val="{00000002-031B-4426-9657-71A06EF9E905}"/>
            </c:ext>
          </c:extLst>
        </c:ser>
        <c:ser>
          <c:idx val="3"/>
          <c:order val="3"/>
          <c:tx>
            <c:strRef>
              <c:f>Sheet3!$E$1</c:f>
              <c:strCache>
                <c:ptCount val="1"/>
                <c:pt idx="0">
                  <c:v>Sum of Cholesterol</c:v>
                </c:pt>
              </c:strCache>
            </c:strRef>
          </c:tx>
          <c:spPr>
            <a:solidFill>
              <a:schemeClr val="accent4">
                <a:tint val="58000"/>
                <a:alpha val="70000"/>
              </a:schemeClr>
            </a:solidFill>
            <a:ln>
              <a:noFill/>
            </a:ln>
            <a:effectLst/>
          </c:spPr>
          <c:invertIfNegative val="0"/>
          <c:cat>
            <c:strRef>
              <c:f>Sheet3!$A$2:$A$5</c:f>
              <c:strCache>
                <c:ptCount val="3"/>
                <c:pt idx="0">
                  <c:v>A</c:v>
                </c:pt>
                <c:pt idx="1">
                  <c:v>B</c:v>
                </c:pt>
                <c:pt idx="2">
                  <c:v>C</c:v>
                </c:pt>
              </c:strCache>
            </c:strRef>
          </c:cat>
          <c:val>
            <c:numRef>
              <c:f>Sheet3!$E$2:$E$5</c:f>
              <c:numCache>
                <c:formatCode>General</c:formatCode>
                <c:ptCount val="3"/>
                <c:pt idx="0">
                  <c:v>172</c:v>
                </c:pt>
                <c:pt idx="1">
                  <c:v>202</c:v>
                </c:pt>
                <c:pt idx="2">
                  <c:v>374</c:v>
                </c:pt>
              </c:numCache>
            </c:numRef>
          </c:val>
          <c:extLst>
            <c:ext xmlns:c16="http://schemas.microsoft.com/office/drawing/2014/chart" uri="{C3380CC4-5D6E-409C-BE32-E72D297353CC}">
              <c16:uniqueId val="{00000003-031B-4426-9657-71A06EF9E905}"/>
            </c:ext>
          </c:extLst>
        </c:ser>
        <c:dLbls>
          <c:showLegendKey val="0"/>
          <c:showVal val="0"/>
          <c:showCatName val="0"/>
          <c:showSerName val="0"/>
          <c:showPercent val="0"/>
          <c:showBubbleSize val="0"/>
        </c:dLbls>
        <c:gapWidth val="80"/>
        <c:overlap val="25"/>
        <c:axId val="462800416"/>
        <c:axId val="462799936"/>
      </c:barChart>
      <c:catAx>
        <c:axId val="46280041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462799936"/>
        <c:crosses val="autoZero"/>
        <c:auto val="1"/>
        <c:lblAlgn val="ctr"/>
        <c:lblOffset val="100"/>
        <c:noMultiLvlLbl val="0"/>
      </c:catAx>
      <c:valAx>
        <c:axId val="4627999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462800416"/>
        <c:crosses val="autoZero"/>
        <c:crossBetween val="between"/>
      </c:valAx>
      <c:spPr>
        <a:noFill/>
        <a:ln>
          <a:noFill/>
        </a:ln>
        <a:effectLst/>
      </c:spPr>
    </c:plotArea>
    <c:legend>
      <c:legendPos val="r"/>
      <c:layout>
        <c:manualLayout>
          <c:xMode val="edge"/>
          <c:yMode val="edge"/>
          <c:x val="0.64504901684178684"/>
          <c:y val="0.26757973279781783"/>
          <c:w val="0.31678726246589722"/>
          <c:h val="0.451933181161290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Healthcare_Data!$AL$53</c:f>
              <c:strCache>
                <c:ptCount val="1"/>
                <c:pt idx="0">
                  <c:v>Blood_pressure</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Healthcare_Data!$AK$54:$AK$102</c:f>
              <c:numCache>
                <c:formatCode>General</c:formatCode>
                <c:ptCount val="49"/>
                <c:pt idx="0">
                  <c:v>24</c:v>
                </c:pt>
                <c:pt idx="1">
                  <c:v>23</c:v>
                </c:pt>
                <c:pt idx="2">
                  <c:v>24</c:v>
                </c:pt>
                <c:pt idx="3">
                  <c:v>25</c:v>
                </c:pt>
                <c:pt idx="4">
                  <c:v>26</c:v>
                </c:pt>
                <c:pt idx="5">
                  <c:v>27</c:v>
                </c:pt>
                <c:pt idx="6">
                  <c:v>28</c:v>
                </c:pt>
                <c:pt idx="7">
                  <c:v>29</c:v>
                </c:pt>
                <c:pt idx="8">
                  <c:v>30</c:v>
                </c:pt>
                <c:pt idx="9">
                  <c:v>31</c:v>
                </c:pt>
                <c:pt idx="10">
                  <c:v>32</c:v>
                </c:pt>
                <c:pt idx="11">
                  <c:v>33</c:v>
                </c:pt>
                <c:pt idx="12">
                  <c:v>34</c:v>
                </c:pt>
                <c:pt idx="13">
                  <c:v>35</c:v>
                </c:pt>
                <c:pt idx="14">
                  <c:v>36</c:v>
                </c:pt>
                <c:pt idx="15">
                  <c:v>37</c:v>
                </c:pt>
                <c:pt idx="16">
                  <c:v>38</c:v>
                </c:pt>
                <c:pt idx="17">
                  <c:v>39</c:v>
                </c:pt>
                <c:pt idx="18">
                  <c:v>40</c:v>
                </c:pt>
                <c:pt idx="19">
                  <c:v>41</c:v>
                </c:pt>
                <c:pt idx="20">
                  <c:v>42</c:v>
                </c:pt>
                <c:pt idx="21">
                  <c:v>43</c:v>
                </c:pt>
                <c:pt idx="22">
                  <c:v>44</c:v>
                </c:pt>
                <c:pt idx="23">
                  <c:v>45</c:v>
                </c:pt>
                <c:pt idx="24">
                  <c:v>46</c:v>
                </c:pt>
                <c:pt idx="25">
                  <c:v>47</c:v>
                </c:pt>
                <c:pt idx="26">
                  <c:v>48</c:v>
                </c:pt>
                <c:pt idx="27">
                  <c:v>49</c:v>
                </c:pt>
                <c:pt idx="28">
                  <c:v>50</c:v>
                </c:pt>
                <c:pt idx="29">
                  <c:v>51</c:v>
                </c:pt>
                <c:pt idx="30">
                  <c:v>52</c:v>
                </c:pt>
                <c:pt idx="31">
                  <c:v>53</c:v>
                </c:pt>
                <c:pt idx="32">
                  <c:v>54</c:v>
                </c:pt>
                <c:pt idx="33">
                  <c:v>55</c:v>
                </c:pt>
                <c:pt idx="34">
                  <c:v>56</c:v>
                </c:pt>
                <c:pt idx="35">
                  <c:v>57</c:v>
                </c:pt>
                <c:pt idx="36">
                  <c:v>58</c:v>
                </c:pt>
                <c:pt idx="37">
                  <c:v>59</c:v>
                </c:pt>
                <c:pt idx="38">
                  <c:v>60</c:v>
                </c:pt>
                <c:pt idx="39">
                  <c:v>61</c:v>
                </c:pt>
                <c:pt idx="40">
                  <c:v>62</c:v>
                </c:pt>
                <c:pt idx="41">
                  <c:v>63</c:v>
                </c:pt>
                <c:pt idx="42">
                  <c:v>64</c:v>
                </c:pt>
                <c:pt idx="43">
                  <c:v>20</c:v>
                </c:pt>
                <c:pt idx="44">
                  <c:v>21</c:v>
                </c:pt>
                <c:pt idx="45">
                  <c:v>22</c:v>
                </c:pt>
                <c:pt idx="46">
                  <c:v>23</c:v>
                </c:pt>
                <c:pt idx="47">
                  <c:v>24</c:v>
                </c:pt>
                <c:pt idx="48">
                  <c:v>25</c:v>
                </c:pt>
              </c:numCache>
            </c:numRef>
          </c:xVal>
          <c:yVal>
            <c:numRef>
              <c:f>Healthcare_Data!$AL$54:$AL$102</c:f>
              <c:numCache>
                <c:formatCode>General</c:formatCode>
                <c:ptCount val="49"/>
                <c:pt idx="0">
                  <c:v>102</c:v>
                </c:pt>
                <c:pt idx="1">
                  <c:v>103</c:v>
                </c:pt>
                <c:pt idx="2">
                  <c:v>104</c:v>
                </c:pt>
                <c:pt idx="3">
                  <c:v>105</c:v>
                </c:pt>
                <c:pt idx="4">
                  <c:v>106</c:v>
                </c:pt>
                <c:pt idx="5">
                  <c:v>107</c:v>
                </c:pt>
                <c:pt idx="6">
                  <c:v>108</c:v>
                </c:pt>
                <c:pt idx="7">
                  <c:v>109</c:v>
                </c:pt>
                <c:pt idx="8">
                  <c:v>110</c:v>
                </c:pt>
                <c:pt idx="9">
                  <c:v>111</c:v>
                </c:pt>
                <c:pt idx="10">
                  <c:v>112</c:v>
                </c:pt>
                <c:pt idx="11">
                  <c:v>113</c:v>
                </c:pt>
                <c:pt idx="12">
                  <c:v>114</c:v>
                </c:pt>
                <c:pt idx="13">
                  <c:v>115</c:v>
                </c:pt>
                <c:pt idx="14">
                  <c:v>116</c:v>
                </c:pt>
                <c:pt idx="15">
                  <c:v>117</c:v>
                </c:pt>
                <c:pt idx="16">
                  <c:v>118</c:v>
                </c:pt>
                <c:pt idx="17">
                  <c:v>119</c:v>
                </c:pt>
                <c:pt idx="18">
                  <c:v>120</c:v>
                </c:pt>
                <c:pt idx="19">
                  <c:v>121</c:v>
                </c:pt>
                <c:pt idx="20">
                  <c:v>122</c:v>
                </c:pt>
                <c:pt idx="21">
                  <c:v>123</c:v>
                </c:pt>
                <c:pt idx="22">
                  <c:v>124</c:v>
                </c:pt>
                <c:pt idx="23">
                  <c:v>125</c:v>
                </c:pt>
                <c:pt idx="24">
                  <c:v>126</c:v>
                </c:pt>
                <c:pt idx="25">
                  <c:v>127</c:v>
                </c:pt>
                <c:pt idx="26">
                  <c:v>128</c:v>
                </c:pt>
                <c:pt idx="27">
                  <c:v>129</c:v>
                </c:pt>
                <c:pt idx="28">
                  <c:v>130</c:v>
                </c:pt>
                <c:pt idx="29">
                  <c:v>131</c:v>
                </c:pt>
                <c:pt idx="30">
                  <c:v>132</c:v>
                </c:pt>
                <c:pt idx="31">
                  <c:v>133</c:v>
                </c:pt>
                <c:pt idx="32">
                  <c:v>134</c:v>
                </c:pt>
                <c:pt idx="33">
                  <c:v>135</c:v>
                </c:pt>
                <c:pt idx="34">
                  <c:v>136</c:v>
                </c:pt>
                <c:pt idx="35">
                  <c:v>137</c:v>
                </c:pt>
                <c:pt idx="36">
                  <c:v>138</c:v>
                </c:pt>
                <c:pt idx="37">
                  <c:v>139</c:v>
                </c:pt>
                <c:pt idx="38">
                  <c:v>140</c:v>
                </c:pt>
                <c:pt idx="39">
                  <c:v>141</c:v>
                </c:pt>
                <c:pt idx="40">
                  <c:v>142</c:v>
                </c:pt>
                <c:pt idx="41">
                  <c:v>143</c:v>
                </c:pt>
                <c:pt idx="42">
                  <c:v>144</c:v>
                </c:pt>
                <c:pt idx="43">
                  <c:v>145</c:v>
                </c:pt>
                <c:pt idx="44">
                  <c:v>146</c:v>
                </c:pt>
                <c:pt idx="45">
                  <c:v>147</c:v>
                </c:pt>
                <c:pt idx="46">
                  <c:v>148</c:v>
                </c:pt>
                <c:pt idx="47">
                  <c:v>149</c:v>
                </c:pt>
                <c:pt idx="48">
                  <c:v>100</c:v>
                </c:pt>
              </c:numCache>
            </c:numRef>
          </c:yVal>
          <c:smooth val="1"/>
          <c:extLst>
            <c:ext xmlns:c16="http://schemas.microsoft.com/office/drawing/2014/chart" uri="{C3380CC4-5D6E-409C-BE32-E72D297353CC}">
              <c16:uniqueId val="{00000000-E81E-430F-B0FA-6BE475934774}"/>
            </c:ext>
          </c:extLst>
        </c:ser>
        <c:dLbls>
          <c:showLegendKey val="0"/>
          <c:showVal val="0"/>
          <c:showCatName val="0"/>
          <c:showSerName val="0"/>
          <c:showPercent val="0"/>
          <c:showBubbleSize val="0"/>
        </c:dLbls>
        <c:axId val="791791183"/>
        <c:axId val="791790703"/>
      </c:scatterChart>
      <c:valAx>
        <c:axId val="7917911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90703"/>
        <c:crosses val="autoZero"/>
        <c:crossBetween val="midCat"/>
      </c:valAx>
      <c:valAx>
        <c:axId val="79179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9118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[Healthcare_Statistical_Analysis_Template.xlsx]Sheet7!PivotTable3</c:name>
    <c:fmtId val="3"/>
  </c:pivotSource>
  <c:chart>
    <c:title>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pivotFmt>
      <c:pivotFmt>
        <c:idx val="5"/>
        <c:spPr>
          <a:solidFill>
            <a:schemeClr val="accent4"/>
          </a:solidFill>
          <a:ln w="19050">
            <a:solidFill>
              <a:schemeClr val="lt1"/>
            </a:solidFill>
          </a:ln>
          <a:effectLst/>
        </c:spPr>
      </c:pivotFmt>
      <c:pivotFmt>
        <c:idx val="6"/>
        <c:spPr>
          <a:solidFill>
            <a:schemeClr val="accent4"/>
          </a:solidFill>
          <a:ln w="19050">
            <a:solidFill>
              <a:schemeClr val="lt1"/>
            </a:solidFill>
          </a:ln>
          <a:effectLst/>
        </c:spPr>
      </c:pivotFmt>
      <c:pivotFmt>
        <c:idx val="7"/>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pivotFmt>
      <c:pivotFmt>
        <c:idx val="1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w="19050">
            <a:solidFill>
              <a:schemeClr val="lt1"/>
            </a:solidFill>
          </a:ln>
          <a:effectLst/>
        </c:spPr>
      </c:pivotFmt>
      <c:pivotFmt>
        <c:idx val="13"/>
        <c:spPr>
          <a:solidFill>
            <a:schemeClr val="accent4"/>
          </a:solidFill>
          <a:ln w="19050">
            <a:solidFill>
              <a:schemeClr val="lt1"/>
            </a:solidFill>
          </a:ln>
          <a:effectLst/>
        </c:spPr>
      </c:pivotFmt>
      <c:pivotFmt>
        <c:idx val="14"/>
        <c:spPr>
          <a:solidFill>
            <a:schemeClr val="accent4"/>
          </a:solidFill>
          <a:ln w="19050">
            <a:solidFill>
              <a:schemeClr val="lt1"/>
            </a:solidFill>
          </a:ln>
          <a:effectLst/>
        </c:spPr>
      </c:pivotFmt>
      <c:pivotFmt>
        <c:idx val="15"/>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4"/>
          </a:solidFill>
          <a:ln w="19050">
            <a:solidFill>
              <a:schemeClr val="lt1"/>
            </a:solidFill>
          </a:ln>
          <a:effectLst/>
        </c:spPr>
      </c:pivotFmt>
      <c:pivotFmt>
        <c:idx val="19"/>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4"/>
          </a:solidFill>
          <a:ln w="19050">
            <a:solidFill>
              <a:schemeClr val="lt1"/>
            </a:solidFill>
          </a:ln>
          <a:effectLst/>
        </c:spPr>
      </c:pivotFmt>
      <c:pivotFmt>
        <c:idx val="21"/>
        <c:spPr>
          <a:solidFill>
            <a:schemeClr val="accent4"/>
          </a:solidFill>
          <a:ln w="19050">
            <a:solidFill>
              <a:schemeClr val="lt1"/>
            </a:solidFill>
          </a:ln>
          <a:effectLst/>
        </c:spPr>
      </c:pivotFmt>
      <c:pivotFmt>
        <c:idx val="22"/>
        <c:spPr>
          <a:solidFill>
            <a:schemeClr val="accent4"/>
          </a:solidFill>
          <a:ln w="19050">
            <a:solidFill>
              <a:schemeClr val="lt1"/>
            </a:solidFill>
          </a:ln>
          <a:effectLst/>
        </c:spPr>
      </c:pivotFmt>
      <c:pivotFmt>
        <c:idx val="2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4"/>
          </a:solidFill>
          <a:ln w="19050">
            <a:solidFill>
              <a:schemeClr val="lt1"/>
            </a:solidFill>
          </a:ln>
          <a:effectLst/>
        </c:spPr>
      </c:pivotFmt>
      <c:pivotFmt>
        <c:idx val="25"/>
        <c:spPr>
          <a:solidFill>
            <a:schemeClr val="accent4"/>
          </a:solidFill>
          <a:ln w="19050">
            <a:solidFill>
              <a:schemeClr val="lt1"/>
            </a:solidFill>
          </a:ln>
          <a:effectLst/>
        </c:spPr>
      </c:pivotFmt>
      <c:pivotFmt>
        <c:idx val="26"/>
        <c:spPr>
          <a:solidFill>
            <a:schemeClr val="accent4"/>
          </a:solidFill>
          <a:ln w="19050">
            <a:solidFill>
              <a:schemeClr val="lt1"/>
            </a:solidFill>
          </a:ln>
          <a:effectLst/>
        </c:spPr>
      </c:pivotFmt>
    </c:pivotFmts>
    <c:plotArea>
      <c:layout>
        <c:manualLayout>
          <c:layoutTarget val="inner"/>
          <c:xMode val="edge"/>
          <c:yMode val="edge"/>
          <c:x val="2.3704359442347611E-2"/>
          <c:y val="0.45635995372741511"/>
          <c:w val="0.88486453985145441"/>
          <c:h val="0.53523879183691803"/>
        </c:manualLayout>
      </c:layout>
      <c:ofPieChart>
        <c:ofPieType val="pie"/>
        <c:varyColors val="1"/>
        <c:ser>
          <c:idx val="0"/>
          <c:order val="0"/>
          <c:tx>
            <c:strRef>
              <c:f>Sheet7!$B$3</c:f>
              <c:strCache>
                <c:ptCount val="1"/>
                <c:pt idx="0">
                  <c:v>Sum of Blood_Pressure</c:v>
                </c:pt>
              </c:strCache>
            </c:strRef>
          </c:tx>
          <c:dPt>
            <c:idx val="0"/>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1-232B-4DAE-A8EB-89A74A2D692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232B-4DAE-A8EB-89A74A2D6920}"/>
              </c:ext>
            </c:extLst>
          </c:dPt>
          <c:dPt>
            <c:idx val="2"/>
            <c:bubble3D val="0"/>
            <c:explosion val="6"/>
            <c:spPr>
              <a:solidFill>
                <a:schemeClr val="accent4">
                  <a:tint val="65000"/>
                </a:schemeClr>
              </a:solidFill>
              <a:ln w="19050">
                <a:solidFill>
                  <a:schemeClr val="lt1"/>
                </a:solidFill>
              </a:ln>
              <a:effectLst/>
            </c:spPr>
            <c:extLst>
              <c:ext xmlns:c16="http://schemas.microsoft.com/office/drawing/2014/chart" uri="{C3380CC4-5D6E-409C-BE32-E72D297353CC}">
                <c16:uniqueId val="{00000005-232B-4DAE-A8EB-89A74A2D6920}"/>
              </c:ext>
            </c:extLst>
          </c:dPt>
          <c:dPt>
            <c:idx val="3"/>
            <c:bubble3D val="0"/>
            <c:spPr>
              <a:solidFill>
                <a:schemeClr val="accent4">
                  <a:tint val="30000"/>
                </a:schemeClr>
              </a:solidFill>
              <a:ln w="19050">
                <a:solidFill>
                  <a:schemeClr val="lt1"/>
                </a:solidFill>
              </a:ln>
              <a:effectLst/>
            </c:spPr>
            <c:extLst>
              <c:ext xmlns:c16="http://schemas.microsoft.com/office/drawing/2014/chart" uri="{C3380CC4-5D6E-409C-BE32-E72D297353CC}">
                <c16:uniqueId val="{00000007-232B-4DAE-A8EB-89A74A2D6920}"/>
              </c:ext>
            </c:extLst>
          </c:dPt>
          <c:cat>
            <c:strRef>
              <c:f>Sheet7!$A$4:$A$7</c:f>
              <c:strCache>
                <c:ptCount val="3"/>
                <c:pt idx="0">
                  <c:v>A</c:v>
                </c:pt>
                <c:pt idx="1">
                  <c:v>B</c:v>
                </c:pt>
                <c:pt idx="2">
                  <c:v>C</c:v>
                </c:pt>
              </c:strCache>
            </c:strRef>
          </c:cat>
          <c:val>
            <c:numRef>
              <c:f>Sheet7!$B$4:$B$7</c:f>
              <c:numCache>
                <c:formatCode>General</c:formatCode>
                <c:ptCount val="3"/>
                <c:pt idx="0">
                  <c:v>8334</c:v>
                </c:pt>
                <c:pt idx="1">
                  <c:v>8249</c:v>
                </c:pt>
                <c:pt idx="2">
                  <c:v>8317</c:v>
                </c:pt>
              </c:numCache>
            </c:numRef>
          </c:val>
          <c:extLst>
            <c:ext xmlns:c16="http://schemas.microsoft.com/office/drawing/2014/chart" uri="{C3380CC4-5D6E-409C-BE32-E72D297353CC}">
              <c16:uniqueId val="{00000008-232B-4DAE-A8EB-89A74A2D6920}"/>
            </c:ext>
          </c:extLst>
        </c:ser>
        <c:ser>
          <c:idx val="1"/>
          <c:order val="1"/>
          <c:tx>
            <c:strRef>
              <c:f>Sheet7!$C$3</c:f>
              <c:strCache>
                <c:ptCount val="1"/>
                <c:pt idx="0">
                  <c:v>Sum of Cholesterol</c:v>
                </c:pt>
              </c:strCache>
            </c:strRef>
          </c:tx>
          <c:dPt>
            <c:idx val="0"/>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A-232B-4DAE-A8EB-89A74A2D692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C-232B-4DAE-A8EB-89A74A2D6920}"/>
              </c:ext>
            </c:extLst>
          </c:dPt>
          <c:dPt>
            <c:idx val="2"/>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E-232B-4DAE-A8EB-89A74A2D6920}"/>
              </c:ext>
            </c:extLst>
          </c:dPt>
          <c:dPt>
            <c:idx val="3"/>
            <c:bubble3D val="0"/>
            <c:spPr>
              <a:solidFill>
                <a:schemeClr val="accent4">
                  <a:tint val="30000"/>
                </a:schemeClr>
              </a:solidFill>
              <a:ln w="19050">
                <a:solidFill>
                  <a:schemeClr val="lt1"/>
                </a:solidFill>
              </a:ln>
              <a:effectLst/>
            </c:spPr>
            <c:extLst>
              <c:ext xmlns:c16="http://schemas.microsoft.com/office/drawing/2014/chart" uri="{C3380CC4-5D6E-409C-BE32-E72D297353CC}">
                <c16:uniqueId val="{00000010-232B-4DAE-A8EB-89A74A2D6920}"/>
              </c:ext>
            </c:extLst>
          </c:dPt>
          <c:cat>
            <c:strRef>
              <c:f>Sheet7!$A$4:$A$7</c:f>
              <c:strCache>
                <c:ptCount val="3"/>
                <c:pt idx="0">
                  <c:v>A</c:v>
                </c:pt>
                <c:pt idx="1">
                  <c:v>B</c:v>
                </c:pt>
                <c:pt idx="2">
                  <c:v>C</c:v>
                </c:pt>
              </c:strCache>
            </c:strRef>
          </c:cat>
          <c:val>
            <c:numRef>
              <c:f>Sheet7!$C$4:$C$7</c:f>
              <c:numCache>
                <c:formatCode>General</c:formatCode>
                <c:ptCount val="3"/>
                <c:pt idx="0">
                  <c:v>12484</c:v>
                </c:pt>
                <c:pt idx="1">
                  <c:v>12279</c:v>
                </c:pt>
                <c:pt idx="2">
                  <c:v>12417</c:v>
                </c:pt>
              </c:numCache>
            </c:numRef>
          </c:val>
          <c:extLst>
            <c:ext xmlns:c16="http://schemas.microsoft.com/office/drawing/2014/chart" uri="{C3380CC4-5D6E-409C-BE32-E72D297353CC}">
              <c16:uniqueId val="{00000011-232B-4DAE-A8EB-89A74A2D6920}"/>
            </c:ext>
          </c:extLst>
        </c:ser>
        <c:ser>
          <c:idx val="2"/>
          <c:order val="2"/>
          <c:tx>
            <c:strRef>
              <c:f>Sheet7!$D$3</c:f>
              <c:strCache>
                <c:ptCount val="1"/>
                <c:pt idx="0">
                  <c:v>Sum of Recovery_Score</c:v>
                </c:pt>
              </c:strCache>
            </c:strRef>
          </c:tx>
          <c:dPt>
            <c:idx val="0"/>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13-232B-4DAE-A8EB-89A74A2D692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15-232B-4DAE-A8EB-89A74A2D6920}"/>
              </c:ext>
            </c:extLst>
          </c:dPt>
          <c:dPt>
            <c:idx val="2"/>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17-232B-4DAE-A8EB-89A74A2D6920}"/>
              </c:ext>
            </c:extLst>
          </c:dPt>
          <c:dPt>
            <c:idx val="3"/>
            <c:bubble3D val="0"/>
            <c:spPr>
              <a:solidFill>
                <a:schemeClr val="accent4">
                  <a:tint val="30000"/>
                </a:schemeClr>
              </a:solidFill>
              <a:ln w="19050">
                <a:solidFill>
                  <a:schemeClr val="lt1"/>
                </a:solidFill>
              </a:ln>
              <a:effectLst/>
            </c:spPr>
            <c:extLst>
              <c:ext xmlns:c16="http://schemas.microsoft.com/office/drawing/2014/chart" uri="{C3380CC4-5D6E-409C-BE32-E72D297353CC}">
                <c16:uniqueId val="{00000019-232B-4DAE-A8EB-89A74A2D6920}"/>
              </c:ext>
            </c:extLst>
          </c:dPt>
          <c:cat>
            <c:strRef>
              <c:f>Sheet7!$A$4:$A$7</c:f>
              <c:strCache>
                <c:ptCount val="3"/>
                <c:pt idx="0">
                  <c:v>A</c:v>
                </c:pt>
                <c:pt idx="1">
                  <c:v>B</c:v>
                </c:pt>
                <c:pt idx="2">
                  <c:v>C</c:v>
                </c:pt>
              </c:strCache>
            </c:strRef>
          </c:cat>
          <c:val>
            <c:numRef>
              <c:f>Sheet7!$D$4:$D$7</c:f>
              <c:numCache>
                <c:formatCode>General</c:formatCode>
                <c:ptCount val="3"/>
                <c:pt idx="0">
                  <c:v>4664</c:v>
                </c:pt>
                <c:pt idx="1">
                  <c:v>4599</c:v>
                </c:pt>
                <c:pt idx="2">
                  <c:v>4637</c:v>
                </c:pt>
              </c:numCache>
            </c:numRef>
          </c:val>
          <c:extLst>
            <c:ext xmlns:c16="http://schemas.microsoft.com/office/drawing/2014/chart" uri="{C3380CC4-5D6E-409C-BE32-E72D297353CC}">
              <c16:uniqueId val="{0000001A-232B-4DAE-A8EB-89A74A2D6920}"/>
            </c:ext>
          </c:extLst>
        </c:ser>
        <c:dLbls>
          <c:showLegendKey val="0"/>
          <c:showVal val="0"/>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c:f>
              <c:strCache>
                <c:ptCount val="1"/>
                <c:pt idx="0">
                  <c:v>Sum of Age</c:v>
                </c:pt>
              </c:strCache>
            </c:strRef>
          </c:tx>
          <c:spPr>
            <a:solidFill>
              <a:schemeClr val="accent1"/>
            </a:solidFill>
            <a:ln>
              <a:noFill/>
            </a:ln>
            <a:effectLst/>
          </c:spPr>
          <c:invertIfNegative val="0"/>
          <c:cat>
            <c:strRef>
              <c:f>Sheet3!$A$2:$A$5</c:f>
              <c:strCache>
                <c:ptCount val="3"/>
                <c:pt idx="0">
                  <c:v>A</c:v>
                </c:pt>
                <c:pt idx="1">
                  <c:v>B</c:v>
                </c:pt>
                <c:pt idx="2">
                  <c:v>C</c:v>
                </c:pt>
              </c:strCache>
            </c:strRef>
          </c:cat>
          <c:val>
            <c:numRef>
              <c:f>Sheet3!$B$2:$B$5</c:f>
              <c:numCache>
                <c:formatCode>General</c:formatCode>
                <c:ptCount val="3"/>
                <c:pt idx="0">
                  <c:v>32</c:v>
                </c:pt>
                <c:pt idx="1">
                  <c:v>27</c:v>
                </c:pt>
                <c:pt idx="2">
                  <c:v>59</c:v>
                </c:pt>
              </c:numCache>
            </c:numRef>
          </c:val>
          <c:extLst>
            <c:ext xmlns:c16="http://schemas.microsoft.com/office/drawing/2014/chart" uri="{C3380CC4-5D6E-409C-BE32-E72D297353CC}">
              <c16:uniqueId val="{00000000-1755-4C87-BB69-3B90A28E325D}"/>
            </c:ext>
          </c:extLst>
        </c:ser>
        <c:ser>
          <c:idx val="1"/>
          <c:order val="1"/>
          <c:tx>
            <c:strRef>
              <c:f>Sheet3!$C$1</c:f>
              <c:strCache>
                <c:ptCount val="1"/>
                <c:pt idx="0">
                  <c:v>Sum of BMI</c:v>
                </c:pt>
              </c:strCache>
            </c:strRef>
          </c:tx>
          <c:spPr>
            <a:solidFill>
              <a:schemeClr val="accent2"/>
            </a:solidFill>
            <a:ln>
              <a:noFill/>
            </a:ln>
            <a:effectLst/>
          </c:spPr>
          <c:invertIfNegative val="0"/>
          <c:cat>
            <c:strRef>
              <c:f>Sheet3!$A$2:$A$5</c:f>
              <c:strCache>
                <c:ptCount val="3"/>
                <c:pt idx="0">
                  <c:v>A</c:v>
                </c:pt>
                <c:pt idx="1">
                  <c:v>B</c:v>
                </c:pt>
                <c:pt idx="2">
                  <c:v>C</c:v>
                </c:pt>
              </c:strCache>
            </c:strRef>
          </c:cat>
          <c:val>
            <c:numRef>
              <c:f>Sheet3!$C$2:$C$5</c:f>
              <c:numCache>
                <c:formatCode>General</c:formatCode>
                <c:ptCount val="3"/>
                <c:pt idx="0">
                  <c:v>30</c:v>
                </c:pt>
                <c:pt idx="1">
                  <c:v>25</c:v>
                </c:pt>
                <c:pt idx="2">
                  <c:v>40</c:v>
                </c:pt>
              </c:numCache>
            </c:numRef>
          </c:val>
          <c:extLst>
            <c:ext xmlns:c16="http://schemas.microsoft.com/office/drawing/2014/chart" uri="{C3380CC4-5D6E-409C-BE32-E72D297353CC}">
              <c16:uniqueId val="{00000001-1755-4C87-BB69-3B90A28E325D}"/>
            </c:ext>
          </c:extLst>
        </c:ser>
        <c:ser>
          <c:idx val="2"/>
          <c:order val="2"/>
          <c:tx>
            <c:strRef>
              <c:f>Sheet3!$D$1</c:f>
              <c:strCache>
                <c:ptCount val="1"/>
                <c:pt idx="0">
                  <c:v>Sum of Blood_Pressure</c:v>
                </c:pt>
              </c:strCache>
            </c:strRef>
          </c:tx>
          <c:spPr>
            <a:solidFill>
              <a:schemeClr val="accent3"/>
            </a:solidFill>
            <a:ln>
              <a:noFill/>
            </a:ln>
            <a:effectLst/>
          </c:spPr>
          <c:invertIfNegative val="0"/>
          <c:cat>
            <c:strRef>
              <c:f>Sheet3!$A$2:$A$5</c:f>
              <c:strCache>
                <c:ptCount val="3"/>
                <c:pt idx="0">
                  <c:v>A</c:v>
                </c:pt>
                <c:pt idx="1">
                  <c:v>B</c:v>
                </c:pt>
                <c:pt idx="2">
                  <c:v>C</c:v>
                </c:pt>
              </c:strCache>
            </c:strRef>
          </c:cat>
          <c:val>
            <c:numRef>
              <c:f>Sheet3!$D$2:$D$5</c:f>
              <c:numCache>
                <c:formatCode>General</c:formatCode>
                <c:ptCount val="3"/>
                <c:pt idx="0">
                  <c:v>102</c:v>
                </c:pt>
                <c:pt idx="1">
                  <c:v>102</c:v>
                </c:pt>
                <c:pt idx="2">
                  <c:v>204</c:v>
                </c:pt>
              </c:numCache>
            </c:numRef>
          </c:val>
          <c:extLst>
            <c:ext xmlns:c16="http://schemas.microsoft.com/office/drawing/2014/chart" uri="{C3380CC4-5D6E-409C-BE32-E72D297353CC}">
              <c16:uniqueId val="{00000002-1755-4C87-BB69-3B90A28E325D}"/>
            </c:ext>
          </c:extLst>
        </c:ser>
        <c:ser>
          <c:idx val="3"/>
          <c:order val="3"/>
          <c:tx>
            <c:strRef>
              <c:f>Sheet3!$E$1</c:f>
              <c:strCache>
                <c:ptCount val="1"/>
                <c:pt idx="0">
                  <c:v>Sum of Cholesterol</c:v>
                </c:pt>
              </c:strCache>
            </c:strRef>
          </c:tx>
          <c:spPr>
            <a:solidFill>
              <a:schemeClr val="accent4"/>
            </a:solidFill>
            <a:ln>
              <a:noFill/>
            </a:ln>
            <a:effectLst/>
          </c:spPr>
          <c:invertIfNegative val="0"/>
          <c:cat>
            <c:strRef>
              <c:f>Sheet3!$A$2:$A$5</c:f>
              <c:strCache>
                <c:ptCount val="3"/>
                <c:pt idx="0">
                  <c:v>A</c:v>
                </c:pt>
                <c:pt idx="1">
                  <c:v>B</c:v>
                </c:pt>
                <c:pt idx="2">
                  <c:v>C</c:v>
                </c:pt>
              </c:strCache>
            </c:strRef>
          </c:cat>
          <c:val>
            <c:numRef>
              <c:f>Sheet3!$E$2:$E$5</c:f>
              <c:numCache>
                <c:formatCode>General</c:formatCode>
                <c:ptCount val="3"/>
                <c:pt idx="0">
                  <c:v>172</c:v>
                </c:pt>
                <c:pt idx="1">
                  <c:v>202</c:v>
                </c:pt>
                <c:pt idx="2">
                  <c:v>374</c:v>
                </c:pt>
              </c:numCache>
            </c:numRef>
          </c:val>
          <c:extLst>
            <c:ext xmlns:c16="http://schemas.microsoft.com/office/drawing/2014/chart" uri="{C3380CC4-5D6E-409C-BE32-E72D297353CC}">
              <c16:uniqueId val="{00000003-1755-4C87-BB69-3B90A28E325D}"/>
            </c:ext>
          </c:extLst>
        </c:ser>
        <c:dLbls>
          <c:showLegendKey val="0"/>
          <c:showVal val="0"/>
          <c:showCatName val="0"/>
          <c:showSerName val="0"/>
          <c:showPercent val="0"/>
          <c:showBubbleSize val="0"/>
        </c:dLbls>
        <c:gapWidth val="219"/>
        <c:overlap val="-27"/>
        <c:axId val="462800416"/>
        <c:axId val="462799936"/>
      </c:barChart>
      <c:catAx>
        <c:axId val="462800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799936"/>
        <c:crosses val="autoZero"/>
        <c:auto val="1"/>
        <c:lblAlgn val="ctr"/>
        <c:lblOffset val="100"/>
        <c:noMultiLvlLbl val="0"/>
      </c:catAx>
      <c:valAx>
        <c:axId val="46279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800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[Healthcare_Statistical_Analysis_Template.xlsx]Sheet4!PivotTable7</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Sum of Blood_Pressure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9C2-467F-B8CA-4997B88F1F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9C2-467F-B8CA-4997B88F1F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9C2-467F-B8CA-4997B88F1FCB}"/>
              </c:ext>
            </c:extLst>
          </c:dPt>
          <c:cat>
            <c:strRef>
              <c:f>Sheet4!$A$2:$A$5</c:f>
              <c:strCache>
                <c:ptCount val="3"/>
                <c:pt idx="0">
                  <c:v>A</c:v>
                </c:pt>
                <c:pt idx="1">
                  <c:v>B</c:v>
                </c:pt>
                <c:pt idx="2">
                  <c:v>C</c:v>
                </c:pt>
              </c:strCache>
            </c:strRef>
          </c:cat>
          <c:val>
            <c:numRef>
              <c:f>Sheet4!$B$2:$B$5</c:f>
              <c:numCache>
                <c:formatCode>General</c:formatCode>
                <c:ptCount val="3"/>
                <c:pt idx="0">
                  <c:v>254</c:v>
                </c:pt>
                <c:pt idx="1">
                  <c:v>132</c:v>
                </c:pt>
                <c:pt idx="2">
                  <c:v>224</c:v>
                </c:pt>
              </c:numCache>
            </c:numRef>
          </c:val>
          <c:extLst>
            <c:ext xmlns:c16="http://schemas.microsoft.com/office/drawing/2014/chart" uri="{C3380CC4-5D6E-409C-BE32-E72D297353CC}">
              <c16:uniqueId val="{00000000-E91F-49D2-A1E2-EAA1DEE9CEB3}"/>
            </c:ext>
          </c:extLst>
        </c:ser>
        <c:ser>
          <c:idx val="1"/>
          <c:order val="1"/>
          <c:tx>
            <c:strRef>
              <c:f>Sheet4!$C$1</c:f>
              <c:strCache>
                <c:ptCount val="1"/>
                <c:pt idx="0">
                  <c:v>Sum of Recovery_Score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59C2-467F-B8CA-4997B88F1F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59C2-467F-B8CA-4997B88F1F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59C2-467F-B8CA-4997B88F1FCB}"/>
              </c:ext>
            </c:extLst>
          </c:dPt>
          <c:cat>
            <c:strRef>
              <c:f>Sheet4!$A$2:$A$5</c:f>
              <c:strCache>
                <c:ptCount val="3"/>
                <c:pt idx="0">
                  <c:v>A</c:v>
                </c:pt>
                <c:pt idx="1">
                  <c:v>B</c:v>
                </c:pt>
                <c:pt idx="2">
                  <c:v>C</c:v>
                </c:pt>
              </c:strCache>
            </c:strRef>
          </c:cat>
          <c:val>
            <c:numRef>
              <c:f>Sheet4!$C$2:$C$5</c:f>
              <c:numCache>
                <c:formatCode>General</c:formatCode>
                <c:ptCount val="3"/>
                <c:pt idx="0">
                  <c:v>104</c:v>
                </c:pt>
                <c:pt idx="1">
                  <c:v>52</c:v>
                </c:pt>
                <c:pt idx="2">
                  <c:v>104</c:v>
                </c:pt>
              </c:numCache>
            </c:numRef>
          </c:val>
          <c:extLst>
            <c:ext xmlns:c16="http://schemas.microsoft.com/office/drawing/2014/chart" uri="{C3380CC4-5D6E-409C-BE32-E72D297353CC}">
              <c16:uniqueId val="{00000001-E91F-49D2-A1E2-EAA1DEE9CEB3}"/>
            </c:ext>
          </c:extLst>
        </c:ser>
        <c:ser>
          <c:idx val="2"/>
          <c:order val="2"/>
          <c:tx>
            <c:strRef>
              <c:f>Sheet4!$D$1</c:f>
              <c:strCache>
                <c:ptCount val="1"/>
                <c:pt idx="0">
                  <c:v>Sum of BMI</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610-4FD3-9B64-2ACDDE03B59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610-4FD3-9B64-2ACDDE03B59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1-4610-4FD3-9B64-2ACDDE03B59C}"/>
              </c:ext>
            </c:extLst>
          </c:dPt>
          <c:cat>
            <c:strRef>
              <c:f>Sheet4!$A$2:$A$5</c:f>
              <c:strCache>
                <c:ptCount val="3"/>
                <c:pt idx="0">
                  <c:v>A</c:v>
                </c:pt>
                <c:pt idx="1">
                  <c:v>B</c:v>
                </c:pt>
                <c:pt idx="2">
                  <c:v>C</c:v>
                </c:pt>
              </c:strCache>
            </c:strRef>
          </c:cat>
          <c:val>
            <c:numRef>
              <c:f>Sheet4!$D$2:$D$5</c:f>
              <c:numCache>
                <c:formatCode>General</c:formatCode>
                <c:ptCount val="3"/>
                <c:pt idx="0">
                  <c:v>60</c:v>
                </c:pt>
                <c:pt idx="1">
                  <c:v>25</c:v>
                </c:pt>
                <c:pt idx="2">
                  <c:v>40</c:v>
                </c:pt>
              </c:numCache>
            </c:numRef>
          </c:val>
          <c:extLst>
            <c:ext xmlns:c16="http://schemas.microsoft.com/office/drawing/2014/chart" uri="{C3380CC4-5D6E-409C-BE32-E72D297353CC}">
              <c16:uniqueId val="{0000000C-B017-47AA-BF86-6337B3B501F6}"/>
            </c:ext>
          </c:extLst>
        </c:ser>
        <c:ser>
          <c:idx val="3"/>
          <c:order val="3"/>
          <c:tx>
            <c:strRef>
              <c:f>Sheet4!$E$1</c:f>
              <c:strCache>
                <c:ptCount val="1"/>
                <c:pt idx="0">
                  <c:v>Sum of Cholesterol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3-4610-4FD3-9B64-2ACDDE03B59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5-4610-4FD3-9B64-2ACDDE03B59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4610-4FD3-9B64-2ACDDE03B59C}"/>
              </c:ext>
            </c:extLst>
          </c:dPt>
          <c:cat>
            <c:strRef>
              <c:f>Sheet4!$A$2:$A$5</c:f>
              <c:strCache>
                <c:ptCount val="3"/>
                <c:pt idx="0">
                  <c:v>A</c:v>
                </c:pt>
                <c:pt idx="1">
                  <c:v>B</c:v>
                </c:pt>
                <c:pt idx="2">
                  <c:v>C</c:v>
                </c:pt>
              </c:strCache>
            </c:strRef>
          </c:cat>
          <c:val>
            <c:numRef>
              <c:f>Sheet4!$E$2:$E$5</c:f>
              <c:numCache>
                <c:formatCode>General</c:formatCode>
                <c:ptCount val="3"/>
                <c:pt idx="0">
                  <c:v>344</c:v>
                </c:pt>
                <c:pt idx="1">
                  <c:v>152</c:v>
                </c:pt>
                <c:pt idx="2">
                  <c:v>344</c:v>
                </c:pt>
              </c:numCache>
            </c:numRef>
          </c:val>
          <c:extLst>
            <c:ext xmlns:c16="http://schemas.microsoft.com/office/drawing/2014/chart" uri="{C3380CC4-5D6E-409C-BE32-E72D297353CC}">
              <c16:uniqueId val="{0000000E-B017-47AA-BF86-6337B3B501F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[Healthcare_Statistical_Analysis_Template.xlsx]Sheet4!PivotTable7</c:name>
    <c:fmtId val="1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Sheet4!$B$1</c:f>
              <c:strCache>
                <c:ptCount val="1"/>
                <c:pt idx="0">
                  <c:v>Sum of Blood_Pressure</c:v>
                </c:pt>
              </c:strCache>
            </c:strRef>
          </c:tx>
          <c:spPr>
            <a:solidFill>
              <a:schemeClr val="accent1"/>
            </a:solidFill>
            <a:ln>
              <a:noFill/>
            </a:ln>
            <a:effectLst/>
            <a:sp3d/>
          </c:spPr>
          <c:invertIfNegative val="0"/>
          <c:cat>
            <c:strRef>
              <c:f>Sheet4!$A$2:$A$5</c:f>
              <c:strCache>
                <c:ptCount val="3"/>
                <c:pt idx="0">
                  <c:v>A</c:v>
                </c:pt>
                <c:pt idx="1">
                  <c:v>B</c:v>
                </c:pt>
                <c:pt idx="2">
                  <c:v>C</c:v>
                </c:pt>
              </c:strCache>
            </c:strRef>
          </c:cat>
          <c:val>
            <c:numRef>
              <c:f>Sheet4!$B$2:$B$5</c:f>
              <c:numCache>
                <c:formatCode>General</c:formatCode>
                <c:ptCount val="3"/>
                <c:pt idx="0">
                  <c:v>254</c:v>
                </c:pt>
                <c:pt idx="1">
                  <c:v>132</c:v>
                </c:pt>
                <c:pt idx="2">
                  <c:v>224</c:v>
                </c:pt>
              </c:numCache>
            </c:numRef>
          </c:val>
          <c:extLst>
            <c:ext xmlns:c16="http://schemas.microsoft.com/office/drawing/2014/chart" uri="{C3380CC4-5D6E-409C-BE32-E72D297353CC}">
              <c16:uniqueId val="{00000000-B934-4EDE-A62E-478E89DA6F2A}"/>
            </c:ext>
          </c:extLst>
        </c:ser>
        <c:ser>
          <c:idx val="1"/>
          <c:order val="1"/>
          <c:tx>
            <c:strRef>
              <c:f>Sheet4!$C$1</c:f>
              <c:strCache>
                <c:ptCount val="1"/>
                <c:pt idx="0">
                  <c:v>Sum of Recovery_Score</c:v>
                </c:pt>
              </c:strCache>
            </c:strRef>
          </c:tx>
          <c:spPr>
            <a:solidFill>
              <a:schemeClr val="accent2"/>
            </a:solidFill>
            <a:ln>
              <a:noFill/>
            </a:ln>
            <a:effectLst/>
            <a:sp3d/>
          </c:spPr>
          <c:invertIfNegative val="0"/>
          <c:cat>
            <c:strRef>
              <c:f>Sheet4!$A$2:$A$5</c:f>
              <c:strCache>
                <c:ptCount val="3"/>
                <c:pt idx="0">
                  <c:v>A</c:v>
                </c:pt>
                <c:pt idx="1">
                  <c:v>B</c:v>
                </c:pt>
                <c:pt idx="2">
                  <c:v>C</c:v>
                </c:pt>
              </c:strCache>
            </c:strRef>
          </c:cat>
          <c:val>
            <c:numRef>
              <c:f>Sheet4!$C$2:$C$5</c:f>
              <c:numCache>
                <c:formatCode>General</c:formatCode>
                <c:ptCount val="3"/>
                <c:pt idx="0">
                  <c:v>104</c:v>
                </c:pt>
                <c:pt idx="1">
                  <c:v>52</c:v>
                </c:pt>
                <c:pt idx="2">
                  <c:v>104</c:v>
                </c:pt>
              </c:numCache>
            </c:numRef>
          </c:val>
          <c:extLst>
            <c:ext xmlns:c16="http://schemas.microsoft.com/office/drawing/2014/chart" uri="{C3380CC4-5D6E-409C-BE32-E72D297353CC}">
              <c16:uniqueId val="{00000001-B934-4EDE-A62E-478E89DA6F2A}"/>
            </c:ext>
          </c:extLst>
        </c:ser>
        <c:ser>
          <c:idx val="2"/>
          <c:order val="2"/>
          <c:tx>
            <c:strRef>
              <c:f>Sheet4!$D$1</c:f>
              <c:strCache>
                <c:ptCount val="1"/>
                <c:pt idx="0">
                  <c:v>Sum of BMI</c:v>
                </c:pt>
              </c:strCache>
            </c:strRef>
          </c:tx>
          <c:spPr>
            <a:solidFill>
              <a:schemeClr val="accent3"/>
            </a:solidFill>
            <a:ln>
              <a:noFill/>
            </a:ln>
            <a:effectLst/>
            <a:sp3d/>
          </c:spPr>
          <c:invertIfNegative val="0"/>
          <c:cat>
            <c:strRef>
              <c:f>Sheet4!$A$2:$A$5</c:f>
              <c:strCache>
                <c:ptCount val="3"/>
                <c:pt idx="0">
                  <c:v>A</c:v>
                </c:pt>
                <c:pt idx="1">
                  <c:v>B</c:v>
                </c:pt>
                <c:pt idx="2">
                  <c:v>C</c:v>
                </c:pt>
              </c:strCache>
            </c:strRef>
          </c:cat>
          <c:val>
            <c:numRef>
              <c:f>Sheet4!$D$2:$D$5</c:f>
              <c:numCache>
                <c:formatCode>General</c:formatCode>
                <c:ptCount val="3"/>
                <c:pt idx="0">
                  <c:v>60</c:v>
                </c:pt>
                <c:pt idx="1">
                  <c:v>25</c:v>
                </c:pt>
                <c:pt idx="2">
                  <c:v>40</c:v>
                </c:pt>
              </c:numCache>
            </c:numRef>
          </c:val>
          <c:extLst>
            <c:ext xmlns:c16="http://schemas.microsoft.com/office/drawing/2014/chart" uri="{C3380CC4-5D6E-409C-BE32-E72D297353CC}">
              <c16:uniqueId val="{00000002-B934-4EDE-A62E-478E89DA6F2A}"/>
            </c:ext>
          </c:extLst>
        </c:ser>
        <c:ser>
          <c:idx val="3"/>
          <c:order val="3"/>
          <c:tx>
            <c:strRef>
              <c:f>Sheet4!$E$1</c:f>
              <c:strCache>
                <c:ptCount val="1"/>
                <c:pt idx="0">
                  <c:v>Sum of Cholesterol</c:v>
                </c:pt>
              </c:strCache>
            </c:strRef>
          </c:tx>
          <c:spPr>
            <a:solidFill>
              <a:schemeClr val="accent4"/>
            </a:solidFill>
            <a:ln>
              <a:noFill/>
            </a:ln>
            <a:effectLst/>
            <a:sp3d/>
          </c:spPr>
          <c:invertIfNegative val="0"/>
          <c:cat>
            <c:strRef>
              <c:f>Sheet4!$A$2:$A$5</c:f>
              <c:strCache>
                <c:ptCount val="3"/>
                <c:pt idx="0">
                  <c:v>A</c:v>
                </c:pt>
                <c:pt idx="1">
                  <c:v>B</c:v>
                </c:pt>
                <c:pt idx="2">
                  <c:v>C</c:v>
                </c:pt>
              </c:strCache>
            </c:strRef>
          </c:cat>
          <c:val>
            <c:numRef>
              <c:f>Sheet4!$E$2:$E$5</c:f>
              <c:numCache>
                <c:formatCode>General</c:formatCode>
                <c:ptCount val="3"/>
                <c:pt idx="0">
                  <c:v>344</c:v>
                </c:pt>
                <c:pt idx="1">
                  <c:v>152</c:v>
                </c:pt>
                <c:pt idx="2">
                  <c:v>344</c:v>
                </c:pt>
              </c:numCache>
            </c:numRef>
          </c:val>
          <c:extLst>
            <c:ext xmlns:c16="http://schemas.microsoft.com/office/drawing/2014/chart" uri="{C3380CC4-5D6E-409C-BE32-E72D297353CC}">
              <c16:uniqueId val="{00000003-B934-4EDE-A62E-478E89DA6F2A}"/>
            </c:ext>
          </c:extLst>
        </c:ser>
        <c:dLbls>
          <c:showLegendKey val="0"/>
          <c:showVal val="0"/>
          <c:showCatName val="0"/>
          <c:showSerName val="0"/>
          <c:showPercent val="0"/>
          <c:showBubbleSize val="0"/>
        </c:dLbls>
        <c:gapWidth val="150"/>
        <c:shape val="box"/>
        <c:axId val="861537919"/>
        <c:axId val="861538399"/>
        <c:axId val="0"/>
      </c:bar3DChart>
      <c:catAx>
        <c:axId val="861537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538399"/>
        <c:crosses val="autoZero"/>
        <c:auto val="1"/>
        <c:lblAlgn val="ctr"/>
        <c:lblOffset val="100"/>
        <c:noMultiLvlLbl val="0"/>
      </c:catAx>
      <c:valAx>
        <c:axId val="861538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537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[Healthcare_Statistical_Analysis_Template.xlsx]Sheet6!PivotTable3</c:name>
    <c:fmtId val="2"/>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lt1"/>
          </a:solidFill>
          <a:ln w="19050">
            <a:solidFill>
              <a:schemeClr val="accent4"/>
            </a:solidFill>
          </a:ln>
          <a:effectLst/>
        </c:spPr>
      </c:pivotFmt>
      <c:pivotFmt>
        <c:idx val="3"/>
        <c:spPr>
          <a:solidFill>
            <a:schemeClr val="lt1"/>
          </a:solidFill>
          <a:ln w="19050">
            <a:solidFill>
              <a:schemeClr val="accent4"/>
            </a:solidFill>
          </a:ln>
          <a:effectLst/>
        </c:spPr>
      </c:pivotFmt>
      <c:pivotFmt>
        <c:idx val="4"/>
        <c:spPr>
          <a:solidFill>
            <a:schemeClr val="lt1"/>
          </a:solidFill>
          <a:ln w="19050">
            <a:solidFill>
              <a:schemeClr val="accent4"/>
            </a:solidFill>
          </a:ln>
          <a:effectLst/>
        </c:spPr>
      </c:pivotFmt>
      <c:pivotFmt>
        <c:idx val="5"/>
        <c:spPr>
          <a:solidFill>
            <a:schemeClr val="lt1"/>
          </a:solidFill>
          <a:ln w="19050">
            <a:solidFill>
              <a:schemeClr val="accent4"/>
            </a:solidFill>
          </a:ln>
          <a:effectLst/>
        </c:spPr>
      </c:pivotFmt>
      <c:pivotFmt>
        <c:idx val="6"/>
        <c:spPr>
          <a:solidFill>
            <a:schemeClr val="lt1"/>
          </a:solidFill>
          <a:ln w="19050">
            <a:solidFill>
              <a:schemeClr val="accent4"/>
            </a:solidFill>
          </a:ln>
          <a:effectLst/>
        </c:spPr>
      </c:pivotFmt>
      <c:pivotFmt>
        <c:idx val="7"/>
        <c:spPr>
          <a:solidFill>
            <a:schemeClr val="lt1"/>
          </a:solidFill>
          <a:ln w="19050">
            <a:solidFill>
              <a:schemeClr val="accent4"/>
            </a:solidFill>
          </a:ln>
          <a:effectLst/>
        </c:spPr>
      </c:pivotFmt>
      <c:pivotFmt>
        <c:idx val="8"/>
        <c:spPr>
          <a:solidFill>
            <a:schemeClr val="lt1"/>
          </a:solidFill>
          <a:ln w="19050">
            <a:solidFill>
              <a:schemeClr val="accent4"/>
            </a:solidFill>
          </a:ln>
          <a:effectLst/>
        </c:spPr>
      </c:pivotFmt>
      <c:pivotFmt>
        <c:idx val="9"/>
        <c:spPr>
          <a:solidFill>
            <a:schemeClr val="lt1"/>
          </a:solidFill>
          <a:ln w="19050">
            <a:solidFill>
              <a:schemeClr val="accent4"/>
            </a:solidFill>
          </a:ln>
          <a:effectLst/>
        </c:spPr>
      </c:pivotFmt>
      <c:pivotFmt>
        <c:idx val="10"/>
        <c:spPr>
          <a:solidFill>
            <a:schemeClr val="lt1"/>
          </a:solidFill>
          <a:ln w="19050">
            <a:solidFill>
              <a:schemeClr val="accent4"/>
            </a:solidFill>
          </a:ln>
          <a:effectLst/>
        </c:spPr>
      </c:pivotFmt>
      <c:pivotFmt>
        <c:idx val="11"/>
        <c:spPr>
          <a:solidFill>
            <a:schemeClr val="lt1"/>
          </a:solidFill>
          <a:ln w="19050">
            <a:solidFill>
              <a:schemeClr val="accent4"/>
            </a:solidFill>
          </a:ln>
          <a:effectLst/>
        </c:spPr>
      </c:pivotFmt>
      <c:pivotFmt>
        <c:idx val="12"/>
        <c:spPr>
          <a:solidFill>
            <a:schemeClr val="lt1"/>
          </a:solidFill>
          <a:ln w="19050">
            <a:solidFill>
              <a:schemeClr val="accent4"/>
            </a:solidFill>
          </a:ln>
          <a:effectLst/>
        </c:spPr>
      </c:pivotFmt>
      <c:pivotFmt>
        <c:idx val="13"/>
        <c:spPr>
          <a:solidFill>
            <a:schemeClr val="lt1"/>
          </a:solidFill>
          <a:ln w="19050">
            <a:solidFill>
              <a:schemeClr val="accent4"/>
            </a:solidFill>
          </a:ln>
          <a:effectLst/>
        </c:spPr>
      </c:pivotFmt>
    </c:pivotFmts>
    <c:plotArea>
      <c:layout/>
      <c:pieChart>
        <c:varyColors val="1"/>
        <c:ser>
          <c:idx val="0"/>
          <c:order val="0"/>
          <c:tx>
            <c:strRef>
              <c:f>Sheet6!$B$3</c:f>
              <c:strCache>
                <c:ptCount val="1"/>
                <c:pt idx="0">
                  <c:v>Sum of Age</c:v>
                </c:pt>
              </c:strCache>
            </c:strRef>
          </c:tx>
          <c:spPr>
            <a:solidFill>
              <a:schemeClr val="lt1"/>
            </a:solidFill>
            <a:ln w="19050">
              <a:solidFill>
                <a:schemeClr val="accent4"/>
              </a:solidFill>
            </a:ln>
            <a:effectLst/>
          </c:spPr>
          <c:dPt>
            <c:idx val="0"/>
            <c:bubble3D val="0"/>
            <c:spPr>
              <a:solidFill>
                <a:schemeClr val="lt1"/>
              </a:solidFill>
              <a:ln w="19050">
                <a:solidFill>
                  <a:schemeClr val="accent4"/>
                </a:solidFill>
              </a:ln>
              <a:effectLst/>
            </c:spPr>
            <c:extLst>
              <c:ext xmlns:c16="http://schemas.microsoft.com/office/drawing/2014/chart" uri="{C3380CC4-5D6E-409C-BE32-E72D297353CC}">
                <c16:uniqueId val="{00000001-EC08-47E9-8A18-BB7AF58CDDE0}"/>
              </c:ext>
            </c:extLst>
          </c:dPt>
          <c:dPt>
            <c:idx val="1"/>
            <c:bubble3D val="0"/>
            <c:spPr>
              <a:solidFill>
                <a:schemeClr val="lt1"/>
              </a:solidFill>
              <a:ln w="19050">
                <a:solidFill>
                  <a:schemeClr val="accent4"/>
                </a:solidFill>
              </a:ln>
              <a:effectLst/>
            </c:spPr>
            <c:extLst>
              <c:ext xmlns:c16="http://schemas.microsoft.com/office/drawing/2014/chart" uri="{C3380CC4-5D6E-409C-BE32-E72D297353CC}">
                <c16:uniqueId val="{00000003-EC08-47E9-8A18-BB7AF58CDDE0}"/>
              </c:ext>
            </c:extLst>
          </c:dPt>
          <c:dPt>
            <c:idx val="2"/>
            <c:bubble3D val="0"/>
            <c:spPr>
              <a:solidFill>
                <a:schemeClr val="lt1"/>
              </a:solidFill>
              <a:ln w="19050">
                <a:solidFill>
                  <a:schemeClr val="accent4"/>
                </a:solidFill>
              </a:ln>
              <a:effectLst/>
            </c:spPr>
            <c:extLst>
              <c:ext xmlns:c16="http://schemas.microsoft.com/office/drawing/2014/chart" uri="{C3380CC4-5D6E-409C-BE32-E72D297353CC}">
                <c16:uniqueId val="{00000005-EC08-47E9-8A18-BB7AF58CDDE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4">
                      <a:lumMod val="60000"/>
                      <a:lumOff val="40000"/>
                    </a:schemeClr>
                  </a:solidFill>
                </a:ln>
                <a:effectLst/>
              </c:spPr>
            </c:leaderLines>
            <c:extLst>
              <c:ext xmlns:c15="http://schemas.microsoft.com/office/drawing/2012/chart" uri="{CE6537A1-D6FC-4f65-9D91-7224C49458BB}"/>
            </c:extLst>
          </c:dLbls>
          <c:cat>
            <c:strRef>
              <c:f>Sheet6!$A$4:$A$7</c:f>
              <c:strCache>
                <c:ptCount val="3"/>
                <c:pt idx="0">
                  <c:v>A</c:v>
                </c:pt>
                <c:pt idx="1">
                  <c:v>B</c:v>
                </c:pt>
                <c:pt idx="2">
                  <c:v>C</c:v>
                </c:pt>
              </c:strCache>
            </c:strRef>
          </c:cat>
          <c:val>
            <c:numRef>
              <c:f>Sheet6!$B$4:$B$7</c:f>
              <c:numCache>
                <c:formatCode>General</c:formatCode>
                <c:ptCount val="3"/>
                <c:pt idx="0">
                  <c:v>2684</c:v>
                </c:pt>
                <c:pt idx="1">
                  <c:v>2709</c:v>
                </c:pt>
                <c:pt idx="2">
                  <c:v>2799</c:v>
                </c:pt>
              </c:numCache>
            </c:numRef>
          </c:val>
          <c:extLst>
            <c:ext xmlns:c16="http://schemas.microsoft.com/office/drawing/2014/chart" uri="{C3380CC4-5D6E-409C-BE32-E72D297353CC}">
              <c16:uniqueId val="{00000000-0C12-4B15-9215-557E2F3A68F5}"/>
            </c:ext>
          </c:extLst>
        </c:ser>
        <c:ser>
          <c:idx val="1"/>
          <c:order val="1"/>
          <c:tx>
            <c:strRef>
              <c:f>Sheet6!$C$3</c:f>
              <c:strCache>
                <c:ptCount val="1"/>
                <c:pt idx="0">
                  <c:v>Sum of BMI</c:v>
                </c:pt>
              </c:strCache>
            </c:strRef>
          </c:tx>
          <c:spPr>
            <a:solidFill>
              <a:schemeClr val="lt1"/>
            </a:solidFill>
            <a:ln w="19050">
              <a:solidFill>
                <a:schemeClr val="accent4"/>
              </a:solidFill>
            </a:ln>
            <a:effectLst/>
          </c:spPr>
          <c:dPt>
            <c:idx val="0"/>
            <c:bubble3D val="0"/>
            <c:spPr>
              <a:solidFill>
                <a:schemeClr val="lt1"/>
              </a:solidFill>
              <a:ln w="19050">
                <a:solidFill>
                  <a:schemeClr val="accent4"/>
                </a:solidFill>
              </a:ln>
              <a:effectLst/>
            </c:spPr>
            <c:extLst>
              <c:ext xmlns:c16="http://schemas.microsoft.com/office/drawing/2014/chart" uri="{C3380CC4-5D6E-409C-BE32-E72D297353CC}">
                <c16:uniqueId val="{00000007-EC08-47E9-8A18-BB7AF58CDDE0}"/>
              </c:ext>
            </c:extLst>
          </c:dPt>
          <c:dPt>
            <c:idx val="1"/>
            <c:bubble3D val="0"/>
            <c:spPr>
              <a:solidFill>
                <a:schemeClr val="lt1"/>
              </a:solidFill>
              <a:ln w="19050">
                <a:solidFill>
                  <a:schemeClr val="accent4"/>
                </a:solidFill>
              </a:ln>
              <a:effectLst/>
            </c:spPr>
            <c:extLst>
              <c:ext xmlns:c16="http://schemas.microsoft.com/office/drawing/2014/chart" uri="{C3380CC4-5D6E-409C-BE32-E72D297353CC}">
                <c16:uniqueId val="{00000009-EC08-47E9-8A18-BB7AF58CDDE0}"/>
              </c:ext>
            </c:extLst>
          </c:dPt>
          <c:dPt>
            <c:idx val="2"/>
            <c:bubble3D val="0"/>
            <c:spPr>
              <a:solidFill>
                <a:schemeClr val="lt1"/>
              </a:solidFill>
              <a:ln w="19050">
                <a:solidFill>
                  <a:schemeClr val="accent4"/>
                </a:solidFill>
              </a:ln>
              <a:effectLst/>
            </c:spPr>
            <c:extLst>
              <c:ext xmlns:c16="http://schemas.microsoft.com/office/drawing/2014/chart" uri="{C3380CC4-5D6E-409C-BE32-E72D297353CC}">
                <c16:uniqueId val="{0000000B-EC08-47E9-8A18-BB7AF58CDDE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4">
                      <a:lumMod val="60000"/>
                      <a:lumOff val="40000"/>
                    </a:schemeClr>
                  </a:solidFill>
                </a:ln>
                <a:effectLst/>
              </c:spPr>
            </c:leaderLines>
            <c:extLst>
              <c:ext xmlns:c15="http://schemas.microsoft.com/office/drawing/2012/chart" uri="{CE6537A1-D6FC-4f65-9D91-7224C49458BB}"/>
            </c:extLst>
          </c:dLbls>
          <c:cat>
            <c:strRef>
              <c:f>Sheet6!$A$4:$A$7</c:f>
              <c:strCache>
                <c:ptCount val="3"/>
                <c:pt idx="0">
                  <c:v>A</c:v>
                </c:pt>
                <c:pt idx="1">
                  <c:v>B</c:v>
                </c:pt>
                <c:pt idx="2">
                  <c:v>C</c:v>
                </c:pt>
              </c:strCache>
            </c:strRef>
          </c:cat>
          <c:val>
            <c:numRef>
              <c:f>Sheet6!$C$4:$C$7</c:f>
              <c:numCache>
                <c:formatCode>General</c:formatCode>
                <c:ptCount val="3"/>
                <c:pt idx="0">
                  <c:v>1605</c:v>
                </c:pt>
                <c:pt idx="1">
                  <c:v>1647</c:v>
                </c:pt>
                <c:pt idx="2">
                  <c:v>1733</c:v>
                </c:pt>
              </c:numCache>
            </c:numRef>
          </c:val>
          <c:extLst>
            <c:ext xmlns:c16="http://schemas.microsoft.com/office/drawing/2014/chart" uri="{C3380CC4-5D6E-409C-BE32-E72D297353CC}">
              <c16:uniqueId val="{00000001-0C12-4B15-9215-557E2F3A68F5}"/>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9525" cap="flat" cmpd="sng" algn="ctr">
      <a:solidFill>
        <a:schemeClr val="accent4"/>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Normal Probability Plot</a:t>
            </a:r>
          </a:p>
        </c:rich>
      </c:tx>
      <c:overlay val="0"/>
    </c:title>
    <c:autoTitleDeleted val="0"/>
    <c:plotArea>
      <c:layout/>
      <c:scatterChart>
        <c:scatterStyle val="lineMarker"/>
        <c:varyColors val="0"/>
        <c:ser>
          <c:idx val="0"/>
          <c:order val="0"/>
          <c:spPr>
            <a:ln w="28575">
              <a:noFill/>
            </a:ln>
          </c:spPr>
          <c:xVal>
            <c:numRef>
              <c:f>Healthcare_Data!$AP$30:$AP$48</c:f>
              <c:numCache>
                <c:formatCode>General</c:formatCode>
                <c:ptCount val="19"/>
                <c:pt idx="0">
                  <c:v>2.6315789473684212</c:v>
                </c:pt>
                <c:pt idx="1">
                  <c:v>7.8947368421052637</c:v>
                </c:pt>
                <c:pt idx="2">
                  <c:v>13.157894736842106</c:v>
                </c:pt>
                <c:pt idx="3">
                  <c:v>18.421052631578949</c:v>
                </c:pt>
                <c:pt idx="4">
                  <c:v>23.684210526315791</c:v>
                </c:pt>
                <c:pt idx="5">
                  <c:v>28.947368421052634</c:v>
                </c:pt>
                <c:pt idx="6">
                  <c:v>34.21052631578948</c:v>
                </c:pt>
                <c:pt idx="7">
                  <c:v>39.473684210526315</c:v>
                </c:pt>
                <c:pt idx="8">
                  <c:v>44.736842105263165</c:v>
                </c:pt>
                <c:pt idx="9">
                  <c:v>50</c:v>
                </c:pt>
                <c:pt idx="10">
                  <c:v>55.26315789473685</c:v>
                </c:pt>
                <c:pt idx="11">
                  <c:v>60.526315789473685</c:v>
                </c:pt>
                <c:pt idx="12">
                  <c:v>65.789473684210535</c:v>
                </c:pt>
                <c:pt idx="13">
                  <c:v>71.052631578947384</c:v>
                </c:pt>
                <c:pt idx="14">
                  <c:v>76.31578947368422</c:v>
                </c:pt>
                <c:pt idx="15">
                  <c:v>81.578947368421055</c:v>
                </c:pt>
                <c:pt idx="16">
                  <c:v>86.842105263157904</c:v>
                </c:pt>
                <c:pt idx="17">
                  <c:v>92.105263157894754</c:v>
                </c:pt>
                <c:pt idx="18">
                  <c:v>97.368421052631589</c:v>
                </c:pt>
              </c:numCache>
            </c:numRef>
          </c:xVal>
          <c:yVal>
            <c:numRef>
              <c:f>Healthcare_Data!$AQ$30:$AQ$48</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9CDC-4DAA-87B1-EE75B8FEC95E}"/>
            </c:ext>
          </c:extLst>
        </c:ser>
        <c:dLbls>
          <c:showLegendKey val="0"/>
          <c:showVal val="0"/>
          <c:showCatName val="0"/>
          <c:showSerName val="0"/>
          <c:showPercent val="0"/>
          <c:showBubbleSize val="0"/>
        </c:dLbls>
        <c:axId val="1340457327"/>
        <c:axId val="1340447727"/>
      </c:scatterChart>
      <c:valAx>
        <c:axId val="1340457327"/>
        <c:scaling>
          <c:orientation val="minMax"/>
        </c:scaling>
        <c:delete val="0"/>
        <c:axPos val="b"/>
        <c:title>
          <c:tx>
            <c:rich>
              <a:bodyPr/>
              <a:lstStyle/>
              <a:p>
                <a:pPr>
                  <a:defRPr/>
                </a:pPr>
                <a:r>
                  <a:rPr lang="en-IN"/>
                  <a:t>Sample Percentile</a:t>
                </a:r>
              </a:p>
            </c:rich>
          </c:tx>
          <c:overlay val="0"/>
        </c:title>
        <c:numFmt formatCode="General" sourceLinked="1"/>
        <c:majorTickMark val="out"/>
        <c:minorTickMark val="none"/>
        <c:tickLblPos val="nextTo"/>
        <c:crossAx val="1340447727"/>
        <c:crosses val="autoZero"/>
        <c:crossBetween val="midCat"/>
      </c:valAx>
      <c:valAx>
        <c:axId val="134044772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573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Residual Plot</a:t>
            </a:r>
          </a:p>
        </c:rich>
      </c:tx>
      <c:overlay val="0"/>
    </c:title>
    <c:autoTitleDeleted val="0"/>
    <c:plotArea>
      <c:layout/>
      <c:scatterChart>
        <c:scatterStyle val="lineMarker"/>
        <c:varyColors val="0"/>
        <c:ser>
          <c:idx val="0"/>
          <c:order val="0"/>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Healthcare_Data!$AM$30:$AM$48</c:f>
              <c:numCache>
                <c:formatCode>General</c:formatCode>
                <c:ptCount val="19"/>
                <c:pt idx="0">
                  <c:v>-9.1975609756097612</c:v>
                </c:pt>
                <c:pt idx="1">
                  <c:v>-8.1512195121951265</c:v>
                </c:pt>
                <c:pt idx="2">
                  <c:v>-7.1048780487804919</c:v>
                </c:pt>
                <c:pt idx="3">
                  <c:v>-6.0585365853658573</c:v>
                </c:pt>
                <c:pt idx="4">
                  <c:v>-5.0121951219512226</c:v>
                </c:pt>
                <c:pt idx="5">
                  <c:v>-3.965853658536588</c:v>
                </c:pt>
                <c:pt idx="6">
                  <c:v>-2.9195121951219534</c:v>
                </c:pt>
                <c:pt idx="7">
                  <c:v>-1.8731707317073187</c:v>
                </c:pt>
                <c:pt idx="8">
                  <c:v>-0.82682926829268411</c:v>
                </c:pt>
                <c:pt idx="9">
                  <c:v>0.21951219512195053</c:v>
                </c:pt>
                <c:pt idx="10">
                  <c:v>1.2658536585365852</c:v>
                </c:pt>
                <c:pt idx="11">
                  <c:v>2.3121951219512198</c:v>
                </c:pt>
                <c:pt idx="12">
                  <c:v>3.3585365853658544</c:v>
                </c:pt>
                <c:pt idx="13">
                  <c:v>3.7097560975609767</c:v>
                </c:pt>
                <c:pt idx="14">
                  <c:v>4.7560975609756113</c:v>
                </c:pt>
                <c:pt idx="15">
                  <c:v>5.8024390243902388</c:v>
                </c:pt>
                <c:pt idx="16">
                  <c:v>6.8487804878048735</c:v>
                </c:pt>
                <c:pt idx="17">
                  <c:v>7.8951219512195081</c:v>
                </c:pt>
                <c:pt idx="18">
                  <c:v>8.9414634146341427</c:v>
                </c:pt>
              </c:numCache>
            </c:numRef>
          </c:yVal>
          <c:smooth val="0"/>
          <c:extLst>
            <c:ext xmlns:c16="http://schemas.microsoft.com/office/drawing/2014/chart" uri="{C3380CC4-5D6E-409C-BE32-E72D297353CC}">
              <c16:uniqueId val="{00000000-44DA-4502-8634-91370D587EEC}"/>
            </c:ext>
          </c:extLst>
        </c:ser>
        <c:dLbls>
          <c:showLegendKey val="0"/>
          <c:showVal val="0"/>
          <c:showCatName val="0"/>
          <c:showSerName val="0"/>
          <c:showPercent val="0"/>
          <c:showBubbleSize val="0"/>
        </c:dLbls>
        <c:axId val="1340446767"/>
        <c:axId val="1340448207"/>
      </c:scatterChart>
      <c:valAx>
        <c:axId val="13404467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48207"/>
        <c:crosses val="autoZero"/>
        <c:crossBetween val="midCat"/>
      </c:valAx>
      <c:valAx>
        <c:axId val="1340448207"/>
        <c:scaling>
          <c:orientation val="minMax"/>
        </c:scaling>
        <c:delete val="0"/>
        <c:axPos val="l"/>
        <c:title>
          <c:tx>
            <c:rich>
              <a:bodyPr/>
              <a:lstStyle/>
              <a:p>
                <a:pPr>
                  <a:defRPr/>
                </a:pPr>
                <a:r>
                  <a:rPr lang="en-IN"/>
                  <a:t>Residuals</a:t>
                </a:r>
              </a:p>
            </c:rich>
          </c:tx>
          <c:overlay val="0"/>
        </c:title>
        <c:numFmt formatCode="General" sourceLinked="1"/>
        <c:majorTickMark val="out"/>
        <c:minorTickMark val="none"/>
        <c:tickLblPos val="nextTo"/>
        <c:crossAx val="13404467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Healthcare_Data!$G$2:$G$20</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9468-4D60-9C63-3604731A3593}"/>
            </c:ext>
          </c:extLst>
        </c:ser>
        <c:ser>
          <c:idx val="1"/>
          <c:order val="1"/>
          <c:tx>
            <c:v>Predicted 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Healthcare_Data!$AL$30:$AL$48</c:f>
              <c:numCache>
                <c:formatCode>General</c:formatCode>
                <c:ptCount val="19"/>
                <c:pt idx="0">
                  <c:v>61.197560975609761</c:v>
                </c:pt>
                <c:pt idx="1">
                  <c:v>61.151219512195127</c:v>
                </c:pt>
                <c:pt idx="2">
                  <c:v>61.104878048780492</c:v>
                </c:pt>
                <c:pt idx="3">
                  <c:v>61.058536585365857</c:v>
                </c:pt>
                <c:pt idx="4">
                  <c:v>61.012195121951223</c:v>
                </c:pt>
                <c:pt idx="5">
                  <c:v>60.965853658536588</c:v>
                </c:pt>
                <c:pt idx="6">
                  <c:v>60.919512195121953</c:v>
                </c:pt>
                <c:pt idx="7">
                  <c:v>60.873170731707319</c:v>
                </c:pt>
                <c:pt idx="8">
                  <c:v>60.826829268292684</c:v>
                </c:pt>
                <c:pt idx="9">
                  <c:v>60.780487804878049</c:v>
                </c:pt>
                <c:pt idx="10">
                  <c:v>60.734146341463415</c:v>
                </c:pt>
                <c:pt idx="11">
                  <c:v>60.68780487804878</c:v>
                </c:pt>
                <c:pt idx="12">
                  <c:v>60.641463414634146</c:v>
                </c:pt>
                <c:pt idx="13">
                  <c:v>61.290243902439023</c:v>
                </c:pt>
                <c:pt idx="14">
                  <c:v>61.243902439024389</c:v>
                </c:pt>
                <c:pt idx="15">
                  <c:v>61.197560975609761</c:v>
                </c:pt>
                <c:pt idx="16">
                  <c:v>61.151219512195127</c:v>
                </c:pt>
                <c:pt idx="17">
                  <c:v>61.104878048780492</c:v>
                </c:pt>
                <c:pt idx="18">
                  <c:v>61.058536585365857</c:v>
                </c:pt>
              </c:numCache>
            </c:numRef>
          </c:yVal>
          <c:smooth val="0"/>
          <c:extLst>
            <c:ext xmlns:c16="http://schemas.microsoft.com/office/drawing/2014/chart" uri="{C3380CC4-5D6E-409C-BE32-E72D297353CC}">
              <c16:uniqueId val="{00000001-9468-4D60-9C63-3604731A3593}"/>
            </c:ext>
          </c:extLst>
        </c:ser>
        <c:dLbls>
          <c:showLegendKey val="0"/>
          <c:showVal val="0"/>
          <c:showCatName val="0"/>
          <c:showSerName val="0"/>
          <c:showPercent val="0"/>
          <c:showBubbleSize val="0"/>
        </c:dLbls>
        <c:axId val="1340449167"/>
        <c:axId val="1340455887"/>
      </c:scatterChart>
      <c:valAx>
        <c:axId val="13404491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55887"/>
        <c:crosses val="autoZero"/>
        <c:crossBetween val="midCat"/>
      </c:valAx>
      <c:valAx>
        <c:axId val="134045588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49167"/>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Healthcare_Data!$G$2:$G$20</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6751-4EA2-8499-460AA843E912}"/>
            </c:ext>
          </c:extLst>
        </c:ser>
        <c:ser>
          <c:idx val="1"/>
          <c:order val="1"/>
          <c:tx>
            <c:v>Predicted 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Healthcare_Data!$AL$30:$AL$48</c:f>
              <c:numCache>
                <c:formatCode>General</c:formatCode>
                <c:ptCount val="19"/>
                <c:pt idx="0">
                  <c:v>61.197560975609761</c:v>
                </c:pt>
                <c:pt idx="1">
                  <c:v>61.151219512195127</c:v>
                </c:pt>
                <c:pt idx="2">
                  <c:v>61.104878048780492</c:v>
                </c:pt>
                <c:pt idx="3">
                  <c:v>61.058536585365857</c:v>
                </c:pt>
                <c:pt idx="4">
                  <c:v>61.012195121951223</c:v>
                </c:pt>
                <c:pt idx="5">
                  <c:v>60.965853658536588</c:v>
                </c:pt>
                <c:pt idx="6">
                  <c:v>60.919512195121953</c:v>
                </c:pt>
                <c:pt idx="7">
                  <c:v>60.873170731707319</c:v>
                </c:pt>
                <c:pt idx="8">
                  <c:v>60.826829268292684</c:v>
                </c:pt>
                <c:pt idx="9">
                  <c:v>60.780487804878049</c:v>
                </c:pt>
                <c:pt idx="10">
                  <c:v>60.734146341463415</c:v>
                </c:pt>
                <c:pt idx="11">
                  <c:v>60.68780487804878</c:v>
                </c:pt>
                <c:pt idx="12">
                  <c:v>60.641463414634146</c:v>
                </c:pt>
                <c:pt idx="13">
                  <c:v>61.290243902439023</c:v>
                </c:pt>
                <c:pt idx="14">
                  <c:v>61.243902439024389</c:v>
                </c:pt>
                <c:pt idx="15">
                  <c:v>61.197560975609761</c:v>
                </c:pt>
                <c:pt idx="16">
                  <c:v>61.151219512195127</c:v>
                </c:pt>
                <c:pt idx="17">
                  <c:v>61.104878048780492</c:v>
                </c:pt>
                <c:pt idx="18">
                  <c:v>61.058536585365857</c:v>
                </c:pt>
              </c:numCache>
            </c:numRef>
          </c:yVal>
          <c:smooth val="0"/>
          <c:extLst>
            <c:ext xmlns:c16="http://schemas.microsoft.com/office/drawing/2014/chart" uri="{C3380CC4-5D6E-409C-BE32-E72D297353CC}">
              <c16:uniqueId val="{00000001-6751-4EA2-8499-460AA843E912}"/>
            </c:ext>
          </c:extLst>
        </c:ser>
        <c:dLbls>
          <c:showLegendKey val="0"/>
          <c:showVal val="0"/>
          <c:showCatName val="0"/>
          <c:showSerName val="0"/>
          <c:showPercent val="0"/>
          <c:showBubbleSize val="0"/>
        </c:dLbls>
        <c:axId val="1340449167"/>
        <c:axId val="1340455887"/>
      </c:scatterChart>
      <c:valAx>
        <c:axId val="13404491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55887"/>
        <c:crosses val="autoZero"/>
        <c:crossBetween val="midCat"/>
      </c:valAx>
      <c:valAx>
        <c:axId val="134045588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49167"/>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4.png"/><Relationship Id="rId3" Type="http://schemas.openxmlformats.org/officeDocument/2006/relationships/chart" Target="../charts/chart4.xml"/><Relationship Id="rId7" Type="http://schemas.openxmlformats.org/officeDocument/2006/relationships/chart" Target="../charts/chart8.xml"/><Relationship Id="rId12" Type="http://schemas.openxmlformats.org/officeDocument/2006/relationships/image" Target="../media/image3.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0.xml"/><Relationship Id="rId5" Type="http://schemas.openxmlformats.org/officeDocument/2006/relationships/chart" Target="../charts/chart6.xml"/><Relationship Id="rId10" Type="http://schemas.openxmlformats.org/officeDocument/2006/relationships/image" Target="../media/image2.png"/><Relationship Id="rId4" Type="http://schemas.openxmlformats.org/officeDocument/2006/relationships/chart" Target="../charts/chart5.xml"/><Relationship Id="rId9"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209550</xdr:colOff>
      <xdr:row>10</xdr:row>
      <xdr:rowOff>147637</xdr:rowOff>
    </xdr:from>
    <xdr:to>
      <xdr:col>4</xdr:col>
      <xdr:colOff>1190625</xdr:colOff>
      <xdr:row>25</xdr:row>
      <xdr:rowOff>33337</xdr:rowOff>
    </xdr:to>
    <xdr:graphicFrame macro="">
      <xdr:nvGraphicFramePr>
        <xdr:cNvPr id="2" name="Chart 1">
          <a:extLst>
            <a:ext uri="{FF2B5EF4-FFF2-40B4-BE49-F238E27FC236}">
              <a16:creationId xmlns:a16="http://schemas.microsoft.com/office/drawing/2014/main" id="{236529DC-0597-E4BD-55AC-34C034833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1257300</xdr:colOff>
      <xdr:row>11</xdr:row>
      <xdr:rowOff>0</xdr:rowOff>
    </xdr:from>
    <xdr:to>
      <xdr:col>9</xdr:col>
      <xdr:colOff>400050</xdr:colOff>
      <xdr:row>24</xdr:row>
      <xdr:rowOff>47625</xdr:rowOff>
    </xdr:to>
    <mc:AlternateContent xmlns:mc="http://schemas.openxmlformats.org/markup-compatibility/2006" xmlns:a14="http://schemas.microsoft.com/office/drawing/2010/main">
      <mc:Choice Requires="a14">
        <xdr:graphicFrame macro="">
          <xdr:nvGraphicFramePr>
            <xdr:cNvPr id="3" name="BMI 1">
              <a:extLst>
                <a:ext uri="{FF2B5EF4-FFF2-40B4-BE49-F238E27FC236}">
                  <a16:creationId xmlns:a16="http://schemas.microsoft.com/office/drawing/2014/main" id="{F7427553-B55C-E765-FCA5-A86B097EAF59}"/>
                </a:ext>
              </a:extLst>
            </xdr:cNvPr>
            <xdr:cNvGraphicFramePr/>
          </xdr:nvGraphicFramePr>
          <xdr:xfrm>
            <a:off x="0" y="0"/>
            <a:ext cx="0" cy="0"/>
          </xdr:xfrm>
          <a:graphic>
            <a:graphicData uri="http://schemas.microsoft.com/office/drawing/2010/slicer">
              <sle:slicer xmlns:sle="http://schemas.microsoft.com/office/drawing/2010/slicer" name="BMI 1"/>
            </a:graphicData>
          </a:graphic>
        </xdr:graphicFrame>
      </mc:Choice>
      <mc:Fallback xmlns="">
        <xdr:sp macro="" textlink="">
          <xdr:nvSpPr>
            <xdr:cNvPr id="0" name=""/>
            <xdr:cNvSpPr>
              <a:spLocks noTextEdit="1"/>
            </xdr:cNvSpPr>
          </xdr:nvSpPr>
          <xdr:spPr>
            <a:xfrm>
              <a:off x="7515225" y="2095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200025</xdr:colOff>
      <xdr:row>10</xdr:row>
      <xdr:rowOff>180975</xdr:rowOff>
    </xdr:from>
    <xdr:to>
      <xdr:col>6</xdr:col>
      <xdr:colOff>819150</xdr:colOff>
      <xdr:row>24</xdr:row>
      <xdr:rowOff>38100</xdr:rowOff>
    </xdr:to>
    <mc:AlternateContent xmlns:mc="http://schemas.openxmlformats.org/markup-compatibility/2006" xmlns:a14="http://schemas.microsoft.com/office/drawing/2010/main">
      <mc:Choice Requires="a14">
        <xdr:graphicFrame macro="">
          <xdr:nvGraphicFramePr>
            <xdr:cNvPr id="4" name="Blood_Pressure 1">
              <a:extLst>
                <a:ext uri="{FF2B5EF4-FFF2-40B4-BE49-F238E27FC236}">
                  <a16:creationId xmlns:a16="http://schemas.microsoft.com/office/drawing/2014/main" id="{EBF3AAC4-BEE3-E714-F281-1E0384553D37}"/>
                </a:ext>
              </a:extLst>
            </xdr:cNvPr>
            <xdr:cNvGraphicFramePr/>
          </xdr:nvGraphicFramePr>
          <xdr:xfrm>
            <a:off x="0" y="0"/>
            <a:ext cx="0" cy="0"/>
          </xdr:xfrm>
          <a:graphic>
            <a:graphicData uri="http://schemas.microsoft.com/office/drawing/2010/slicer">
              <sle:slicer xmlns:sle="http://schemas.microsoft.com/office/drawing/2010/slicer" name="Blood_Pressure 1"/>
            </a:graphicData>
          </a:graphic>
        </xdr:graphicFrame>
      </mc:Choice>
      <mc:Fallback xmlns="">
        <xdr:sp macro="" textlink="">
          <xdr:nvSpPr>
            <xdr:cNvPr id="0" name=""/>
            <xdr:cNvSpPr>
              <a:spLocks noTextEdit="1"/>
            </xdr:cNvSpPr>
          </xdr:nvSpPr>
          <xdr:spPr>
            <a:xfrm>
              <a:off x="5248275" y="20859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259743</xdr:colOff>
      <xdr:row>2</xdr:row>
      <xdr:rowOff>149087</xdr:rowOff>
    </xdr:from>
    <xdr:to>
      <xdr:col>10</xdr:col>
      <xdr:colOff>256430</xdr:colOff>
      <xdr:row>4</xdr:row>
      <xdr:rowOff>72887</xdr:rowOff>
    </xdr:to>
    <xdr:sp macro="" textlink="">
      <xdr:nvSpPr>
        <xdr:cNvPr id="5121" name="AutoShape 1" descr="Heart and medical cross logo design">
          <a:extLst>
            <a:ext uri="{FF2B5EF4-FFF2-40B4-BE49-F238E27FC236}">
              <a16:creationId xmlns:a16="http://schemas.microsoft.com/office/drawing/2014/main" id="{C55A230E-097E-740B-46FA-7038F933BF75}"/>
            </a:ext>
          </a:extLst>
        </xdr:cNvPr>
        <xdr:cNvSpPr>
          <a:spLocks noChangeAspect="1" noChangeArrowheads="1"/>
        </xdr:cNvSpPr>
      </xdr:nvSpPr>
      <xdr:spPr bwMode="auto">
        <a:xfrm>
          <a:off x="6594282" y="533400"/>
          <a:ext cx="301487" cy="301487"/>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20</xdr:row>
      <xdr:rowOff>0</xdr:rowOff>
    </xdr:from>
    <xdr:to>
      <xdr:col>10</xdr:col>
      <xdr:colOff>304800</xdr:colOff>
      <xdr:row>21</xdr:row>
      <xdr:rowOff>114300</xdr:rowOff>
    </xdr:to>
    <xdr:sp macro="" textlink="">
      <xdr:nvSpPr>
        <xdr:cNvPr id="5122" name="AutoShape 2" descr="Heart and medical cross logo design">
          <a:extLst>
            <a:ext uri="{FF2B5EF4-FFF2-40B4-BE49-F238E27FC236}">
              <a16:creationId xmlns:a16="http://schemas.microsoft.com/office/drawing/2014/main" id="{65227022-18BF-A817-84D8-775027FE81E9}"/>
            </a:ext>
          </a:extLst>
        </xdr:cNvPr>
        <xdr:cNvSpPr>
          <a:spLocks noChangeAspect="1" noChangeArrowheads="1"/>
        </xdr:cNvSpPr>
      </xdr:nvSpPr>
      <xdr:spPr bwMode="auto">
        <a:xfrm>
          <a:off x="6096000" y="3810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11</xdr:col>
      <xdr:colOff>145773</xdr:colOff>
      <xdr:row>15</xdr:row>
      <xdr:rowOff>119269</xdr:rowOff>
    </xdr:from>
    <xdr:to>
      <xdr:col>15</xdr:col>
      <xdr:colOff>496957</xdr:colOff>
      <xdr:row>25</xdr:row>
      <xdr:rowOff>66261</xdr:rowOff>
    </xdr:to>
    <xdr:graphicFrame macro="">
      <xdr:nvGraphicFramePr>
        <xdr:cNvPr id="6" name="Chart 5">
          <a:extLst>
            <a:ext uri="{FF2B5EF4-FFF2-40B4-BE49-F238E27FC236}">
              <a16:creationId xmlns:a16="http://schemas.microsoft.com/office/drawing/2014/main" id="{8E490C2F-106C-42C7-B2B6-D9448ED40A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15</xdr:row>
      <xdr:rowOff>139148</xdr:rowOff>
    </xdr:from>
    <xdr:to>
      <xdr:col>21</xdr:col>
      <xdr:colOff>6627</xdr:colOff>
      <xdr:row>25</xdr:row>
      <xdr:rowOff>59633</xdr:rowOff>
    </xdr:to>
    <xdr:graphicFrame macro="">
      <xdr:nvGraphicFramePr>
        <xdr:cNvPr id="7" name="Chart 6">
          <a:extLst>
            <a:ext uri="{FF2B5EF4-FFF2-40B4-BE49-F238E27FC236}">
              <a16:creationId xmlns:a16="http://schemas.microsoft.com/office/drawing/2014/main" id="{1EE15E9E-CAB6-4147-8B3C-73343AA19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503582</xdr:colOff>
      <xdr:row>5</xdr:row>
      <xdr:rowOff>13253</xdr:rowOff>
    </xdr:from>
    <xdr:to>
      <xdr:col>11</xdr:col>
      <xdr:colOff>284922</xdr:colOff>
      <xdr:row>14</xdr:row>
      <xdr:rowOff>106018</xdr:rowOff>
    </xdr:to>
    <xdr:graphicFrame macro="">
      <xdr:nvGraphicFramePr>
        <xdr:cNvPr id="3" name="Chart 2">
          <a:extLst>
            <a:ext uri="{FF2B5EF4-FFF2-40B4-BE49-F238E27FC236}">
              <a16:creationId xmlns:a16="http://schemas.microsoft.com/office/drawing/2014/main" id="{656F5CCE-8B7A-4440-814C-29B93777B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198782</xdr:colOff>
      <xdr:row>4</xdr:row>
      <xdr:rowOff>178905</xdr:rowOff>
    </xdr:from>
    <xdr:to>
      <xdr:col>4</xdr:col>
      <xdr:colOff>26504</xdr:colOff>
      <xdr:row>14</xdr:row>
      <xdr:rowOff>125896</xdr:rowOff>
    </xdr:to>
    <mc:AlternateContent xmlns:mc="http://schemas.openxmlformats.org/markup-compatibility/2006" xmlns:a14="http://schemas.microsoft.com/office/drawing/2010/main">
      <mc:Choice Requires="a14">
        <xdr:graphicFrame macro="">
          <xdr:nvGraphicFramePr>
            <xdr:cNvPr id="5" name="Age">
              <a:extLst>
                <a:ext uri="{FF2B5EF4-FFF2-40B4-BE49-F238E27FC236}">
                  <a16:creationId xmlns:a16="http://schemas.microsoft.com/office/drawing/2014/main" id="{2A53C632-4E3C-27CC-740A-2D3A7178BEE2}"/>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2524539" y="940905"/>
              <a:ext cx="1046922" cy="18022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178904</xdr:colOff>
      <xdr:row>15</xdr:row>
      <xdr:rowOff>79513</xdr:rowOff>
    </xdr:from>
    <xdr:to>
      <xdr:col>4</xdr:col>
      <xdr:colOff>6626</xdr:colOff>
      <xdr:row>25</xdr:row>
      <xdr:rowOff>99391</xdr:rowOff>
    </xdr:to>
    <mc:AlternateContent xmlns:mc="http://schemas.openxmlformats.org/markup-compatibility/2006" xmlns:a14="http://schemas.microsoft.com/office/drawing/2010/main">
      <mc:Choice Requires="a14">
        <xdr:graphicFrame macro="">
          <xdr:nvGraphicFramePr>
            <xdr:cNvPr id="9" name="Blood_Pressure 2">
              <a:extLst>
                <a:ext uri="{FF2B5EF4-FFF2-40B4-BE49-F238E27FC236}">
                  <a16:creationId xmlns:a16="http://schemas.microsoft.com/office/drawing/2014/main" id="{E4227BD1-0990-D5BD-24AD-BDEEE8CB200A}"/>
                </a:ext>
              </a:extLst>
            </xdr:cNvPr>
            <xdr:cNvGraphicFramePr/>
          </xdr:nvGraphicFramePr>
          <xdr:xfrm>
            <a:off x="0" y="0"/>
            <a:ext cx="0" cy="0"/>
          </xdr:xfrm>
          <a:graphic>
            <a:graphicData uri="http://schemas.microsoft.com/office/drawing/2010/slicer">
              <sle:slicer xmlns:sle="http://schemas.microsoft.com/office/drawing/2010/slicer" name="Blood_Pressure 2"/>
            </a:graphicData>
          </a:graphic>
        </xdr:graphicFrame>
      </mc:Choice>
      <mc:Fallback xmlns="">
        <xdr:sp macro="" textlink="">
          <xdr:nvSpPr>
            <xdr:cNvPr id="0" name=""/>
            <xdr:cNvSpPr>
              <a:spLocks noTextEdit="1"/>
            </xdr:cNvSpPr>
          </xdr:nvSpPr>
          <xdr:spPr>
            <a:xfrm>
              <a:off x="2504661" y="2882348"/>
              <a:ext cx="1046922" cy="19944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86138</xdr:colOff>
      <xdr:row>4</xdr:row>
      <xdr:rowOff>178903</xdr:rowOff>
    </xdr:from>
    <xdr:to>
      <xdr:col>5</xdr:col>
      <xdr:colOff>443947</xdr:colOff>
      <xdr:row>14</xdr:row>
      <xdr:rowOff>119271</xdr:rowOff>
    </xdr:to>
    <mc:AlternateContent xmlns:mc="http://schemas.openxmlformats.org/markup-compatibility/2006" xmlns:a14="http://schemas.microsoft.com/office/drawing/2010/main">
      <mc:Choice Requires="a14">
        <xdr:graphicFrame macro="">
          <xdr:nvGraphicFramePr>
            <xdr:cNvPr id="10" name="Cholesterol">
              <a:extLst>
                <a:ext uri="{FF2B5EF4-FFF2-40B4-BE49-F238E27FC236}">
                  <a16:creationId xmlns:a16="http://schemas.microsoft.com/office/drawing/2014/main" id="{F674C424-3E4C-CFB4-2C2B-1523683B9AFB}"/>
                </a:ext>
              </a:extLst>
            </xdr:cNvPr>
            <xdr:cNvGraphicFramePr/>
          </xdr:nvGraphicFramePr>
          <xdr:xfrm>
            <a:off x="0" y="0"/>
            <a:ext cx="0" cy="0"/>
          </xdr:xfrm>
          <a:graphic>
            <a:graphicData uri="http://schemas.microsoft.com/office/drawing/2010/slicer">
              <sle:slicer xmlns:sle="http://schemas.microsoft.com/office/drawing/2010/slicer" name="Cholesterol"/>
            </a:graphicData>
          </a:graphic>
        </xdr:graphicFrame>
      </mc:Choice>
      <mc:Fallback xmlns="">
        <xdr:sp macro="" textlink="">
          <xdr:nvSpPr>
            <xdr:cNvPr id="0" name=""/>
            <xdr:cNvSpPr>
              <a:spLocks noTextEdit="1"/>
            </xdr:cNvSpPr>
          </xdr:nvSpPr>
          <xdr:spPr>
            <a:xfrm>
              <a:off x="3631095" y="940903"/>
              <a:ext cx="967409" cy="17956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337931</xdr:colOff>
      <xdr:row>5</xdr:row>
      <xdr:rowOff>0</xdr:rowOff>
    </xdr:from>
    <xdr:to>
      <xdr:col>15</xdr:col>
      <xdr:colOff>125896</xdr:colOff>
      <xdr:row>14</xdr:row>
      <xdr:rowOff>125896</xdr:rowOff>
    </xdr:to>
    <xdr:graphicFrame macro="">
      <xdr:nvGraphicFramePr>
        <xdr:cNvPr id="8" name="Chart 7">
          <a:extLst>
            <a:ext uri="{FF2B5EF4-FFF2-40B4-BE49-F238E27FC236}">
              <a16:creationId xmlns:a16="http://schemas.microsoft.com/office/drawing/2014/main" id="{A0D6D190-5264-4913-864C-8704CC886A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66259</xdr:colOff>
      <xdr:row>4</xdr:row>
      <xdr:rowOff>178905</xdr:rowOff>
    </xdr:from>
    <xdr:to>
      <xdr:col>2</xdr:col>
      <xdr:colOff>112643</xdr:colOff>
      <xdr:row>14</xdr:row>
      <xdr:rowOff>125897</xdr:rowOff>
    </xdr:to>
    <xdr:graphicFrame macro="">
      <xdr:nvGraphicFramePr>
        <xdr:cNvPr id="12" name="Chart 11">
          <a:extLst>
            <a:ext uri="{FF2B5EF4-FFF2-40B4-BE49-F238E27FC236}">
              <a16:creationId xmlns:a16="http://schemas.microsoft.com/office/drawing/2014/main" id="{EE526B0D-40CE-4491-8BCB-372EBF621A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59634</xdr:colOff>
      <xdr:row>15</xdr:row>
      <xdr:rowOff>99391</xdr:rowOff>
    </xdr:from>
    <xdr:to>
      <xdr:col>5</xdr:col>
      <xdr:colOff>443947</xdr:colOff>
      <xdr:row>25</xdr:row>
      <xdr:rowOff>99391</xdr:rowOff>
    </xdr:to>
    <mc:AlternateContent xmlns:mc="http://schemas.openxmlformats.org/markup-compatibility/2006" xmlns:a14="http://schemas.microsoft.com/office/drawing/2010/main">
      <mc:Choice Requires="a14">
        <xdr:graphicFrame macro="">
          <xdr:nvGraphicFramePr>
            <xdr:cNvPr id="13" name="BMI 2">
              <a:extLst>
                <a:ext uri="{FF2B5EF4-FFF2-40B4-BE49-F238E27FC236}">
                  <a16:creationId xmlns:a16="http://schemas.microsoft.com/office/drawing/2014/main" id="{B94E9E49-3116-276A-CD5A-1CA190AA2E03}"/>
                </a:ext>
              </a:extLst>
            </xdr:cNvPr>
            <xdr:cNvGraphicFramePr/>
          </xdr:nvGraphicFramePr>
          <xdr:xfrm>
            <a:off x="0" y="0"/>
            <a:ext cx="0" cy="0"/>
          </xdr:xfrm>
          <a:graphic>
            <a:graphicData uri="http://schemas.microsoft.com/office/drawing/2010/slicer">
              <sle:slicer xmlns:sle="http://schemas.microsoft.com/office/drawing/2010/slicer" name="BMI 2"/>
            </a:graphicData>
          </a:graphic>
        </xdr:graphicFrame>
      </mc:Choice>
      <mc:Fallback xmlns="">
        <xdr:sp macro="" textlink="">
          <xdr:nvSpPr>
            <xdr:cNvPr id="0" name=""/>
            <xdr:cNvSpPr>
              <a:spLocks noTextEdit="1"/>
            </xdr:cNvSpPr>
          </xdr:nvSpPr>
          <xdr:spPr>
            <a:xfrm>
              <a:off x="3604591" y="2902226"/>
              <a:ext cx="993913" cy="19745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72888</xdr:colOff>
      <xdr:row>15</xdr:row>
      <xdr:rowOff>66261</xdr:rowOff>
    </xdr:from>
    <xdr:to>
      <xdr:col>2</xdr:col>
      <xdr:colOff>99391</xdr:colOff>
      <xdr:row>25</xdr:row>
      <xdr:rowOff>86139</xdr:rowOff>
    </xdr:to>
    <xdr:graphicFrame macro="">
      <xdr:nvGraphicFramePr>
        <xdr:cNvPr id="15" name="Chart 14">
          <a:extLst>
            <a:ext uri="{FF2B5EF4-FFF2-40B4-BE49-F238E27FC236}">
              <a16:creationId xmlns:a16="http://schemas.microsoft.com/office/drawing/2014/main" id="{0E35789D-6BB9-40E8-8382-425459B2D7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496956</xdr:colOff>
      <xdr:row>15</xdr:row>
      <xdr:rowOff>106017</xdr:rowOff>
    </xdr:from>
    <xdr:to>
      <xdr:col>11</xdr:col>
      <xdr:colOff>106018</xdr:colOff>
      <xdr:row>25</xdr:row>
      <xdr:rowOff>86139</xdr:rowOff>
    </xdr:to>
    <xdr:graphicFrame macro="">
      <xdr:nvGraphicFramePr>
        <xdr:cNvPr id="17" name="Chart 16">
          <a:extLst>
            <a:ext uri="{FF2B5EF4-FFF2-40B4-BE49-F238E27FC236}">
              <a16:creationId xmlns:a16="http://schemas.microsoft.com/office/drawing/2014/main" id="{3218D8B5-80D8-4592-88B5-AE14CECA2E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238539</xdr:colOff>
      <xdr:row>5</xdr:row>
      <xdr:rowOff>6627</xdr:rowOff>
    </xdr:from>
    <xdr:to>
      <xdr:col>20</xdr:col>
      <xdr:colOff>589721</xdr:colOff>
      <xdr:row>14</xdr:row>
      <xdr:rowOff>125897</xdr:rowOff>
    </xdr:to>
    <xdr:graphicFrame macro="">
      <xdr:nvGraphicFramePr>
        <xdr:cNvPr id="18" name="Chart 17">
          <a:extLst>
            <a:ext uri="{FF2B5EF4-FFF2-40B4-BE49-F238E27FC236}">
              <a16:creationId xmlns:a16="http://schemas.microsoft.com/office/drawing/2014/main" id="{6CE7934F-A8CA-4082-A664-6700E0F4CB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298172</xdr:colOff>
      <xdr:row>0</xdr:row>
      <xdr:rowOff>53010</xdr:rowOff>
    </xdr:from>
    <xdr:to>
      <xdr:col>8</xdr:col>
      <xdr:colOff>116371</xdr:colOff>
      <xdr:row>4</xdr:row>
      <xdr:rowOff>92767</xdr:rowOff>
    </xdr:to>
    <xdr:pic>
      <xdr:nvPicPr>
        <xdr:cNvPr id="20" name="Picture 19">
          <a:extLst>
            <a:ext uri="{FF2B5EF4-FFF2-40B4-BE49-F238E27FC236}">
              <a16:creationId xmlns:a16="http://schemas.microsoft.com/office/drawing/2014/main" id="{AE93945B-DE03-8FEF-5802-DA6ED5217C21}"/>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062329" y="53010"/>
          <a:ext cx="1097033" cy="801757"/>
        </a:xfrm>
        <a:prstGeom prst="rect">
          <a:avLst/>
        </a:prstGeom>
      </xdr:spPr>
    </xdr:pic>
    <xdr:clientData/>
  </xdr:twoCellAnchor>
  <xdr:twoCellAnchor editAs="oneCell">
    <xdr:from>
      <xdr:col>0</xdr:col>
      <xdr:colOff>245167</xdr:colOff>
      <xdr:row>0</xdr:row>
      <xdr:rowOff>89412</xdr:rowOff>
    </xdr:from>
    <xdr:to>
      <xdr:col>0</xdr:col>
      <xdr:colOff>967588</xdr:colOff>
      <xdr:row>3</xdr:row>
      <xdr:rowOff>99391</xdr:rowOff>
    </xdr:to>
    <xdr:pic>
      <xdr:nvPicPr>
        <xdr:cNvPr id="22" name="Picture 21">
          <a:extLst>
            <a:ext uri="{FF2B5EF4-FFF2-40B4-BE49-F238E27FC236}">
              <a16:creationId xmlns:a16="http://schemas.microsoft.com/office/drawing/2014/main" id="{BA8455D1-5D4C-163E-ED49-6DD2C0781F2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5167" y="89412"/>
          <a:ext cx="722421" cy="586449"/>
        </a:xfrm>
        <a:prstGeom prst="rect">
          <a:avLst/>
        </a:prstGeom>
      </xdr:spPr>
    </xdr:pic>
    <xdr:clientData/>
  </xdr:twoCellAnchor>
  <xdr:twoCellAnchor>
    <xdr:from>
      <xdr:col>7</xdr:col>
      <xdr:colOff>92765</xdr:colOff>
      <xdr:row>26</xdr:row>
      <xdr:rowOff>13252</xdr:rowOff>
    </xdr:from>
    <xdr:to>
      <xdr:col>12</xdr:col>
      <xdr:colOff>934278</xdr:colOff>
      <xdr:row>33</xdr:row>
      <xdr:rowOff>178905</xdr:rowOff>
    </xdr:to>
    <xdr:graphicFrame macro="">
      <xdr:nvGraphicFramePr>
        <xdr:cNvPr id="2" name="Chart 1">
          <a:extLst>
            <a:ext uri="{FF2B5EF4-FFF2-40B4-BE49-F238E27FC236}">
              <a16:creationId xmlns:a16="http://schemas.microsoft.com/office/drawing/2014/main" id="{181ABEDC-A553-4086-90BE-2BB4AB036C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993913</xdr:colOff>
      <xdr:row>26</xdr:row>
      <xdr:rowOff>16924</xdr:rowOff>
    </xdr:from>
    <xdr:to>
      <xdr:col>19</xdr:col>
      <xdr:colOff>165654</xdr:colOff>
      <xdr:row>33</xdr:row>
      <xdr:rowOff>178904</xdr:rowOff>
    </xdr:to>
    <xdr:pic>
      <xdr:nvPicPr>
        <xdr:cNvPr id="14" name="Picture 13">
          <a:extLst>
            <a:ext uri="{FF2B5EF4-FFF2-40B4-BE49-F238E27FC236}">
              <a16:creationId xmlns:a16="http://schemas.microsoft.com/office/drawing/2014/main" id="{C8E6C9F0-5421-737A-7337-9ABD6BFC6EAC}"/>
            </a:ext>
          </a:extLst>
        </xdr:cNvPr>
        <xdr:cNvPicPr>
          <a:picLocks noChangeAspect="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311" t="1239" r="311" b="48672"/>
        <a:stretch>
          <a:fillRect/>
        </a:stretch>
      </xdr:blipFill>
      <xdr:spPr>
        <a:xfrm>
          <a:off x="9276522" y="4979863"/>
          <a:ext cx="4326836" cy="1460693"/>
        </a:xfrm>
        <a:prstGeom prst="rect">
          <a:avLst/>
        </a:prstGeom>
      </xdr:spPr>
    </xdr:pic>
    <xdr:clientData/>
  </xdr:twoCellAnchor>
  <xdr:twoCellAnchor editAs="oneCell">
    <xdr:from>
      <xdr:col>18</xdr:col>
      <xdr:colOff>529337</xdr:colOff>
      <xdr:row>25</xdr:row>
      <xdr:rowOff>1</xdr:rowOff>
    </xdr:from>
    <xdr:to>
      <xdr:col>22</xdr:col>
      <xdr:colOff>86139</xdr:colOff>
      <xdr:row>35</xdr:row>
      <xdr:rowOff>66127</xdr:rowOff>
    </xdr:to>
    <xdr:pic>
      <xdr:nvPicPr>
        <xdr:cNvPr id="23" name="Picture 22">
          <a:extLst>
            <a:ext uri="{FF2B5EF4-FFF2-40B4-BE49-F238E27FC236}">
              <a16:creationId xmlns:a16="http://schemas.microsoft.com/office/drawing/2014/main" id="{24B382DC-0260-20D9-A50A-8314BFA68E4E}"/>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357441" y="4777410"/>
          <a:ext cx="1995202" cy="19214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523876</xdr:colOff>
      <xdr:row>8</xdr:row>
      <xdr:rowOff>104775</xdr:rowOff>
    </xdr:from>
    <xdr:to>
      <xdr:col>4</xdr:col>
      <xdr:colOff>885825</xdr:colOff>
      <xdr:row>22</xdr:row>
      <xdr:rowOff>133350</xdr:rowOff>
    </xdr:to>
    <xdr:graphicFrame macro="">
      <xdr:nvGraphicFramePr>
        <xdr:cNvPr id="2" name="Chart 1">
          <a:extLst>
            <a:ext uri="{FF2B5EF4-FFF2-40B4-BE49-F238E27FC236}">
              <a16:creationId xmlns:a16="http://schemas.microsoft.com/office/drawing/2014/main" id="{B5F6574E-3A36-F4F9-DFD9-88D51BEA77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914400</xdr:colOff>
      <xdr:row>12</xdr:row>
      <xdr:rowOff>9526</xdr:rowOff>
    </xdr:from>
    <xdr:to>
      <xdr:col>5</xdr:col>
      <xdr:colOff>1295400</xdr:colOff>
      <xdr:row>22</xdr:row>
      <xdr:rowOff>123825</xdr:rowOff>
    </xdr:to>
    <mc:AlternateContent xmlns:mc="http://schemas.openxmlformats.org/markup-compatibility/2006" xmlns:a14="http://schemas.microsoft.com/office/drawing/2010/main">
      <mc:Choice Requires="a14">
        <xdr:graphicFrame macro="">
          <xdr:nvGraphicFramePr>
            <xdr:cNvPr id="3" name="Blood_Pressure">
              <a:extLst>
                <a:ext uri="{FF2B5EF4-FFF2-40B4-BE49-F238E27FC236}">
                  <a16:creationId xmlns:a16="http://schemas.microsoft.com/office/drawing/2014/main" id="{722F8DB3-08C8-8C1F-248B-068BDCA35ED4}"/>
                </a:ext>
              </a:extLst>
            </xdr:cNvPr>
            <xdr:cNvGraphicFramePr/>
          </xdr:nvGraphicFramePr>
          <xdr:xfrm>
            <a:off x="0" y="0"/>
            <a:ext cx="0" cy="0"/>
          </xdr:xfrm>
          <a:graphic>
            <a:graphicData uri="http://schemas.microsoft.com/office/drawing/2010/slicer">
              <sle:slicer xmlns:sle="http://schemas.microsoft.com/office/drawing/2010/slicer" name="Blood_Pressure"/>
            </a:graphicData>
          </a:graphic>
        </xdr:graphicFrame>
      </mc:Choice>
      <mc:Fallback xmlns="">
        <xdr:sp macro="" textlink="">
          <xdr:nvSpPr>
            <xdr:cNvPr id="0" name=""/>
            <xdr:cNvSpPr>
              <a:spLocks noTextEdit="1"/>
            </xdr:cNvSpPr>
          </xdr:nvSpPr>
          <xdr:spPr>
            <a:xfrm>
              <a:off x="4724400" y="2295526"/>
              <a:ext cx="1514475" cy="2019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142875</xdr:colOff>
      <xdr:row>12</xdr:row>
      <xdr:rowOff>9525</xdr:rowOff>
    </xdr:from>
    <xdr:to>
      <xdr:col>8</xdr:col>
      <xdr:colOff>419100</xdr:colOff>
      <xdr:row>22</xdr:row>
      <xdr:rowOff>152400</xdr:rowOff>
    </xdr:to>
    <mc:AlternateContent xmlns:mc="http://schemas.openxmlformats.org/markup-compatibility/2006" xmlns:a14="http://schemas.microsoft.com/office/drawing/2010/main">
      <mc:Choice Requires="a14">
        <xdr:graphicFrame macro="">
          <xdr:nvGraphicFramePr>
            <xdr:cNvPr id="4" name="BMI">
              <a:extLst>
                <a:ext uri="{FF2B5EF4-FFF2-40B4-BE49-F238E27FC236}">
                  <a16:creationId xmlns:a16="http://schemas.microsoft.com/office/drawing/2014/main" id="{053F0325-8945-7E46-593F-7E7293A66129}"/>
                </a:ext>
              </a:extLst>
            </xdr:cNvPr>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mlns="">
        <xdr:sp macro="" textlink="">
          <xdr:nvSpPr>
            <xdr:cNvPr id="0" name=""/>
            <xdr:cNvSpPr>
              <a:spLocks noTextEdit="1"/>
            </xdr:cNvSpPr>
          </xdr:nvSpPr>
          <xdr:spPr>
            <a:xfrm>
              <a:off x="6629400" y="2295525"/>
              <a:ext cx="1495425" cy="2047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11</xdr:row>
      <xdr:rowOff>4762</xdr:rowOff>
    </xdr:from>
    <xdr:to>
      <xdr:col>3</xdr:col>
      <xdr:colOff>571500</xdr:colOff>
      <xdr:row>25</xdr:row>
      <xdr:rowOff>47625</xdr:rowOff>
    </xdr:to>
    <xdr:graphicFrame macro="">
      <xdr:nvGraphicFramePr>
        <xdr:cNvPr id="2" name="Chart 1">
          <a:extLst>
            <a:ext uri="{FF2B5EF4-FFF2-40B4-BE49-F238E27FC236}">
              <a16:creationId xmlns:a16="http://schemas.microsoft.com/office/drawing/2014/main" id="{E04981C6-D6D3-D93C-42FF-7ADBB5A46B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923925</xdr:colOff>
      <xdr:row>12</xdr:row>
      <xdr:rowOff>9525</xdr:rowOff>
    </xdr:from>
    <xdr:to>
      <xdr:col>6</xdr:col>
      <xdr:colOff>97155</xdr:colOff>
      <xdr:row>25</xdr:row>
      <xdr:rowOff>57150</xdr:rowOff>
    </xdr:to>
    <mc:AlternateContent xmlns:mc="http://schemas.openxmlformats.org/markup-compatibility/2006" xmlns:a14="http://schemas.microsoft.com/office/drawing/2010/main">
      <mc:Choice Requires="a14">
        <xdr:graphicFrame macro="">
          <xdr:nvGraphicFramePr>
            <xdr:cNvPr id="3" name="Recovery_Score">
              <a:extLst>
                <a:ext uri="{FF2B5EF4-FFF2-40B4-BE49-F238E27FC236}">
                  <a16:creationId xmlns:a16="http://schemas.microsoft.com/office/drawing/2014/main" id="{F39277C3-BB83-F847-3440-9438199FA46C}"/>
                </a:ext>
              </a:extLst>
            </xdr:cNvPr>
            <xdr:cNvGraphicFramePr/>
          </xdr:nvGraphicFramePr>
          <xdr:xfrm>
            <a:off x="0" y="0"/>
            <a:ext cx="0" cy="0"/>
          </xdr:xfrm>
          <a:graphic>
            <a:graphicData uri="http://schemas.microsoft.com/office/drawing/2010/slicer">
              <sle:slicer xmlns:sle="http://schemas.microsoft.com/office/drawing/2010/slicer" name="Recovery_Score"/>
            </a:graphicData>
          </a:graphic>
        </xdr:graphicFrame>
      </mc:Choice>
      <mc:Fallback xmlns="">
        <xdr:sp macro="" textlink="">
          <xdr:nvSpPr>
            <xdr:cNvPr id="0" name=""/>
            <xdr:cNvSpPr>
              <a:spLocks noTextEdit="1"/>
            </xdr:cNvSpPr>
          </xdr:nvSpPr>
          <xdr:spPr>
            <a:xfrm>
              <a:off x="4724400" y="22955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830580</xdr:colOff>
      <xdr:row>7</xdr:row>
      <xdr:rowOff>140970</xdr:rowOff>
    </xdr:from>
    <xdr:to>
      <xdr:col>8</xdr:col>
      <xdr:colOff>213360</xdr:colOff>
      <xdr:row>22</xdr:row>
      <xdr:rowOff>140970</xdr:rowOff>
    </xdr:to>
    <xdr:graphicFrame macro="">
      <xdr:nvGraphicFramePr>
        <xdr:cNvPr id="9" name="Chart 8">
          <a:extLst>
            <a:ext uri="{FF2B5EF4-FFF2-40B4-BE49-F238E27FC236}">
              <a16:creationId xmlns:a16="http://schemas.microsoft.com/office/drawing/2014/main" id="{178A28A1-0910-4C3A-CC34-84C20456BB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182880</xdr:colOff>
      <xdr:row>7</xdr:row>
      <xdr:rowOff>171450</xdr:rowOff>
    </xdr:from>
    <xdr:to>
      <xdr:col>11</xdr:col>
      <xdr:colOff>487680</xdr:colOff>
      <xdr:row>22</xdr:row>
      <xdr:rowOff>171450</xdr:rowOff>
    </xdr:to>
    <xdr:graphicFrame macro="">
      <xdr:nvGraphicFramePr>
        <xdr:cNvPr id="2" name="Chart 1">
          <a:extLst>
            <a:ext uri="{FF2B5EF4-FFF2-40B4-BE49-F238E27FC236}">
              <a16:creationId xmlns:a16="http://schemas.microsoft.com/office/drawing/2014/main" id="{29B50DAF-0B3F-3007-DBF4-92BA46A525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45</xdr:col>
      <xdr:colOff>555624</xdr:colOff>
      <xdr:row>9</xdr:row>
      <xdr:rowOff>0</xdr:rowOff>
    </xdr:from>
    <xdr:to>
      <xdr:col>51</xdr:col>
      <xdr:colOff>555625</xdr:colOff>
      <xdr:row>19</xdr:row>
      <xdr:rowOff>0</xdr:rowOff>
    </xdr:to>
    <xdr:graphicFrame macro="">
      <xdr:nvGraphicFramePr>
        <xdr:cNvPr id="5" name="Chart 4">
          <a:extLst>
            <a:ext uri="{FF2B5EF4-FFF2-40B4-BE49-F238E27FC236}">
              <a16:creationId xmlns:a16="http://schemas.microsoft.com/office/drawing/2014/main" id="{CFFA7686-4A4B-439E-8F09-5AA659FD0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45</xdr:col>
      <xdr:colOff>0</xdr:colOff>
      <xdr:row>34</xdr:row>
      <xdr:rowOff>0</xdr:rowOff>
    </xdr:from>
    <xdr:to>
      <xdr:col>51</xdr:col>
      <xdr:colOff>1</xdr:colOff>
      <xdr:row>45</xdr:row>
      <xdr:rowOff>114300</xdr:rowOff>
    </xdr:to>
    <xdr:graphicFrame macro="">
      <xdr:nvGraphicFramePr>
        <xdr:cNvPr id="2" name="Chart 1">
          <a:extLst>
            <a:ext uri="{FF2B5EF4-FFF2-40B4-BE49-F238E27FC236}">
              <a16:creationId xmlns:a16="http://schemas.microsoft.com/office/drawing/2014/main" id="{D8A24F44-E8CC-4859-828D-90B2080AF5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45</xdr:col>
      <xdr:colOff>145677</xdr:colOff>
      <xdr:row>21</xdr:row>
      <xdr:rowOff>0</xdr:rowOff>
    </xdr:from>
    <xdr:to>
      <xdr:col>51</xdr:col>
      <xdr:colOff>1</xdr:colOff>
      <xdr:row>31</xdr:row>
      <xdr:rowOff>145676</xdr:rowOff>
    </xdr:to>
    <xdr:graphicFrame macro="">
      <xdr:nvGraphicFramePr>
        <xdr:cNvPr id="3" name="Chart 2">
          <a:extLst>
            <a:ext uri="{FF2B5EF4-FFF2-40B4-BE49-F238E27FC236}">
              <a16:creationId xmlns:a16="http://schemas.microsoft.com/office/drawing/2014/main" id="{E559F605-1130-41C0-ACD5-ECCAF4E063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42</xdr:col>
      <xdr:colOff>156884</xdr:colOff>
      <xdr:row>8</xdr:row>
      <xdr:rowOff>168088</xdr:rowOff>
    </xdr:from>
    <xdr:to>
      <xdr:col>45</xdr:col>
      <xdr:colOff>347384</xdr:colOff>
      <xdr:row>18</xdr:row>
      <xdr:rowOff>112059</xdr:rowOff>
    </xdr:to>
    <xdr:graphicFrame macro="">
      <xdr:nvGraphicFramePr>
        <xdr:cNvPr id="7" name="Chart 6">
          <a:extLst>
            <a:ext uri="{FF2B5EF4-FFF2-40B4-BE49-F238E27FC236}">
              <a16:creationId xmlns:a16="http://schemas.microsoft.com/office/drawing/2014/main" id="{5DBA930A-BFC2-4E6D-AB91-94CFC0ACEB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13547685186" createdVersion="8" refreshedVersion="8" minRefreshableVersion="3" recordCount="200" xr:uid="{26C66B79-78A2-4128-8701-460E35B4766D}">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pivotCacheId="148749782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0124652779" createdVersion="8" refreshedVersion="8" minRefreshableVersion="3" recordCount="200" xr:uid="{AF34116A-A9F0-48A8-8CFC-0BF6DF319370}">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ount="80">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150"/>
        <n v="151"/>
      </sharedItems>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pivotCacheId="2766332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3527199075" createdVersion="8" refreshedVersion="8" minRefreshableVersion="3" recordCount="200" xr:uid="{5D31C791-338F-43CD-9A79-480F4139BCB9}">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ount="45">
        <n v="22"/>
        <n v="23"/>
        <n v="24"/>
        <n v="25"/>
        <n v="26"/>
        <n v="27"/>
        <n v="28"/>
        <n v="29"/>
        <n v="30"/>
        <n v="31"/>
        <n v="32"/>
        <n v="33"/>
        <n v="34"/>
        <n v="35"/>
        <n v="36"/>
        <n v="37"/>
        <n v="38"/>
        <n v="39"/>
        <n v="40"/>
        <n v="41"/>
        <n v="42"/>
        <n v="43"/>
        <n v="44"/>
        <n v="45"/>
        <n v="46"/>
        <n v="47"/>
        <n v="48"/>
        <n v="49"/>
        <n v="50"/>
        <n v="51"/>
        <n v="52"/>
        <n v="53"/>
        <n v="54"/>
        <n v="55"/>
        <n v="56"/>
        <n v="57"/>
        <n v="58"/>
        <n v="59"/>
        <n v="60"/>
        <n v="61"/>
        <n v="62"/>
        <n v="63"/>
        <n v="64"/>
        <n v="20"/>
        <n v="21"/>
      </sharedItems>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ount="40">
        <n v="52"/>
        <n v="53"/>
        <n v="54"/>
        <n v="55"/>
        <n v="56"/>
        <n v="57"/>
        <n v="58"/>
        <n v="59"/>
        <n v="60"/>
        <n v="61"/>
        <n v="62"/>
        <n v="63"/>
        <n v="64"/>
        <n v="65"/>
        <n v="66"/>
        <n v="67"/>
        <n v="68"/>
        <n v="69"/>
        <n v="70"/>
        <n v="71"/>
        <n v="72"/>
        <n v="73"/>
        <n v="74"/>
        <n v="75"/>
        <n v="76"/>
        <n v="77"/>
        <n v="78"/>
        <n v="79"/>
        <n v="80"/>
        <n v="81"/>
        <n v="82"/>
        <n v="83"/>
        <n v="84"/>
        <n v="85"/>
        <n v="86"/>
        <n v="87"/>
        <n v="88"/>
        <n v="89"/>
        <n v="50"/>
        <n v="51"/>
      </sharedItems>
    </cacheField>
  </cacheFields>
  <extLst>
    <ext xmlns:x14="http://schemas.microsoft.com/office/spreadsheetml/2009/9/main" uri="{725AE2AE-9491-48be-B2B4-4EB974FC3084}">
      <x14:pivotCacheDefinition pivotCacheId="1808090930"/>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ya" refreshedDate="46180.433465277776" createdVersion="8" refreshedVersion="8" minRefreshableVersion="3" recordCount="200" xr:uid="{3AC4CE23-FC71-45A7-8E26-E86A303B9A49}">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pivotCacheId="1381441508"/>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ya" refreshedDate="46180.861653356478" createdVersion="8" refreshedVersion="8" minRefreshableVersion="3" recordCount="200" xr:uid="{CB38AE93-431D-41DA-AE0F-F43C687BBA7F}">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acheField>
    <cacheField name="Blood_Pressure" numFmtId="0">
      <sharedItems containsSemiMixedTypes="0" containsString="0" containsNumber="1" containsInteger="1" minValue="100" maxValue="149"/>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2"/>
    <x v="0"/>
    <x v="0"/>
    <n v="152"/>
    <x v="0"/>
    <n v="52"/>
  </r>
  <r>
    <n v="2"/>
    <n v="23"/>
    <x v="1"/>
    <x v="1"/>
    <n v="153"/>
    <x v="1"/>
    <n v="53"/>
  </r>
  <r>
    <n v="3"/>
    <n v="24"/>
    <x v="2"/>
    <x v="2"/>
    <n v="154"/>
    <x v="2"/>
    <n v="54"/>
  </r>
  <r>
    <n v="4"/>
    <n v="25"/>
    <x v="3"/>
    <x v="3"/>
    <n v="155"/>
    <x v="0"/>
    <n v="55"/>
  </r>
  <r>
    <n v="5"/>
    <n v="26"/>
    <x v="4"/>
    <x v="4"/>
    <n v="156"/>
    <x v="1"/>
    <n v="56"/>
  </r>
  <r>
    <n v="6"/>
    <n v="27"/>
    <x v="5"/>
    <x v="5"/>
    <n v="157"/>
    <x v="2"/>
    <n v="57"/>
  </r>
  <r>
    <n v="7"/>
    <n v="28"/>
    <x v="6"/>
    <x v="6"/>
    <n v="158"/>
    <x v="0"/>
    <n v="58"/>
  </r>
  <r>
    <n v="8"/>
    <n v="29"/>
    <x v="7"/>
    <x v="7"/>
    <n v="159"/>
    <x v="1"/>
    <n v="59"/>
  </r>
  <r>
    <n v="9"/>
    <n v="30"/>
    <x v="8"/>
    <x v="8"/>
    <n v="160"/>
    <x v="2"/>
    <n v="60"/>
  </r>
  <r>
    <n v="10"/>
    <n v="31"/>
    <x v="9"/>
    <x v="9"/>
    <n v="161"/>
    <x v="0"/>
    <n v="61"/>
  </r>
  <r>
    <n v="11"/>
    <n v="32"/>
    <x v="10"/>
    <x v="10"/>
    <n v="162"/>
    <x v="1"/>
    <n v="62"/>
  </r>
  <r>
    <n v="12"/>
    <n v="33"/>
    <x v="11"/>
    <x v="11"/>
    <n v="163"/>
    <x v="2"/>
    <n v="63"/>
  </r>
  <r>
    <n v="13"/>
    <n v="34"/>
    <x v="12"/>
    <x v="12"/>
    <n v="164"/>
    <x v="0"/>
    <n v="64"/>
  </r>
  <r>
    <n v="14"/>
    <n v="35"/>
    <x v="13"/>
    <x v="13"/>
    <n v="165"/>
    <x v="1"/>
    <n v="65"/>
  </r>
  <r>
    <n v="15"/>
    <n v="36"/>
    <x v="14"/>
    <x v="14"/>
    <n v="166"/>
    <x v="2"/>
    <n v="66"/>
  </r>
  <r>
    <n v="16"/>
    <n v="37"/>
    <x v="0"/>
    <x v="15"/>
    <n v="167"/>
    <x v="0"/>
    <n v="67"/>
  </r>
  <r>
    <n v="17"/>
    <n v="38"/>
    <x v="1"/>
    <x v="16"/>
    <n v="168"/>
    <x v="1"/>
    <n v="68"/>
  </r>
  <r>
    <n v="18"/>
    <n v="39"/>
    <x v="2"/>
    <x v="17"/>
    <n v="169"/>
    <x v="2"/>
    <n v="69"/>
  </r>
  <r>
    <n v="19"/>
    <n v="40"/>
    <x v="3"/>
    <x v="18"/>
    <n v="170"/>
    <x v="0"/>
    <n v="70"/>
  </r>
  <r>
    <n v="20"/>
    <n v="41"/>
    <x v="4"/>
    <x v="19"/>
    <n v="171"/>
    <x v="1"/>
    <n v="71"/>
  </r>
  <r>
    <n v="21"/>
    <n v="42"/>
    <x v="5"/>
    <x v="20"/>
    <n v="172"/>
    <x v="2"/>
    <n v="72"/>
  </r>
  <r>
    <n v="22"/>
    <n v="43"/>
    <x v="6"/>
    <x v="21"/>
    <n v="173"/>
    <x v="0"/>
    <n v="73"/>
  </r>
  <r>
    <n v="23"/>
    <n v="44"/>
    <x v="7"/>
    <x v="22"/>
    <n v="174"/>
    <x v="1"/>
    <n v="74"/>
  </r>
  <r>
    <n v="24"/>
    <n v="45"/>
    <x v="8"/>
    <x v="23"/>
    <n v="175"/>
    <x v="2"/>
    <n v="75"/>
  </r>
  <r>
    <n v="25"/>
    <n v="46"/>
    <x v="9"/>
    <x v="24"/>
    <n v="176"/>
    <x v="0"/>
    <n v="76"/>
  </r>
  <r>
    <n v="26"/>
    <n v="47"/>
    <x v="10"/>
    <x v="25"/>
    <n v="177"/>
    <x v="1"/>
    <n v="77"/>
  </r>
  <r>
    <n v="27"/>
    <n v="48"/>
    <x v="11"/>
    <x v="26"/>
    <n v="178"/>
    <x v="2"/>
    <n v="78"/>
  </r>
  <r>
    <n v="28"/>
    <n v="49"/>
    <x v="12"/>
    <x v="27"/>
    <n v="179"/>
    <x v="0"/>
    <n v="79"/>
  </r>
  <r>
    <n v="29"/>
    <n v="50"/>
    <x v="13"/>
    <x v="28"/>
    <n v="180"/>
    <x v="1"/>
    <n v="80"/>
  </r>
  <r>
    <n v="30"/>
    <n v="51"/>
    <x v="14"/>
    <x v="29"/>
    <n v="181"/>
    <x v="2"/>
    <n v="81"/>
  </r>
  <r>
    <n v="31"/>
    <n v="52"/>
    <x v="0"/>
    <x v="30"/>
    <n v="182"/>
    <x v="0"/>
    <n v="82"/>
  </r>
  <r>
    <n v="32"/>
    <n v="53"/>
    <x v="1"/>
    <x v="31"/>
    <n v="183"/>
    <x v="1"/>
    <n v="83"/>
  </r>
  <r>
    <n v="33"/>
    <n v="54"/>
    <x v="2"/>
    <x v="32"/>
    <n v="184"/>
    <x v="2"/>
    <n v="84"/>
  </r>
  <r>
    <n v="34"/>
    <n v="55"/>
    <x v="3"/>
    <x v="33"/>
    <n v="185"/>
    <x v="0"/>
    <n v="85"/>
  </r>
  <r>
    <n v="35"/>
    <n v="56"/>
    <x v="4"/>
    <x v="34"/>
    <n v="186"/>
    <x v="1"/>
    <n v="86"/>
  </r>
  <r>
    <n v="36"/>
    <n v="57"/>
    <x v="5"/>
    <x v="35"/>
    <n v="187"/>
    <x v="2"/>
    <n v="87"/>
  </r>
  <r>
    <n v="37"/>
    <n v="58"/>
    <x v="6"/>
    <x v="36"/>
    <n v="188"/>
    <x v="0"/>
    <n v="88"/>
  </r>
  <r>
    <n v="38"/>
    <n v="59"/>
    <x v="7"/>
    <x v="37"/>
    <n v="189"/>
    <x v="1"/>
    <n v="89"/>
  </r>
  <r>
    <n v="39"/>
    <n v="60"/>
    <x v="8"/>
    <x v="38"/>
    <n v="190"/>
    <x v="2"/>
    <n v="50"/>
  </r>
  <r>
    <n v="40"/>
    <n v="61"/>
    <x v="9"/>
    <x v="39"/>
    <n v="191"/>
    <x v="0"/>
    <n v="51"/>
  </r>
  <r>
    <n v="41"/>
    <n v="62"/>
    <x v="10"/>
    <x v="40"/>
    <n v="192"/>
    <x v="1"/>
    <n v="52"/>
  </r>
  <r>
    <n v="42"/>
    <n v="63"/>
    <x v="11"/>
    <x v="41"/>
    <n v="193"/>
    <x v="2"/>
    <n v="53"/>
  </r>
  <r>
    <n v="43"/>
    <n v="64"/>
    <x v="12"/>
    <x v="42"/>
    <n v="194"/>
    <x v="0"/>
    <n v="54"/>
  </r>
  <r>
    <n v="44"/>
    <n v="20"/>
    <x v="13"/>
    <x v="43"/>
    <n v="195"/>
    <x v="1"/>
    <n v="55"/>
  </r>
  <r>
    <n v="45"/>
    <n v="21"/>
    <x v="14"/>
    <x v="44"/>
    <n v="196"/>
    <x v="2"/>
    <n v="56"/>
  </r>
  <r>
    <n v="46"/>
    <n v="22"/>
    <x v="0"/>
    <x v="45"/>
    <n v="197"/>
    <x v="0"/>
    <n v="57"/>
  </r>
  <r>
    <n v="47"/>
    <n v="23"/>
    <x v="1"/>
    <x v="46"/>
    <n v="198"/>
    <x v="1"/>
    <n v="58"/>
  </r>
  <r>
    <n v="48"/>
    <n v="24"/>
    <x v="2"/>
    <x v="47"/>
    <n v="199"/>
    <x v="2"/>
    <n v="59"/>
  </r>
  <r>
    <n v="49"/>
    <n v="25"/>
    <x v="3"/>
    <x v="48"/>
    <n v="200"/>
    <x v="0"/>
    <n v="60"/>
  </r>
  <r>
    <n v="50"/>
    <n v="26"/>
    <x v="4"/>
    <x v="49"/>
    <n v="201"/>
    <x v="1"/>
    <n v="61"/>
  </r>
  <r>
    <n v="51"/>
    <n v="27"/>
    <x v="5"/>
    <x v="0"/>
    <n v="202"/>
    <x v="2"/>
    <n v="62"/>
  </r>
  <r>
    <n v="52"/>
    <n v="28"/>
    <x v="6"/>
    <x v="1"/>
    <n v="203"/>
    <x v="0"/>
    <n v="63"/>
  </r>
  <r>
    <n v="53"/>
    <n v="29"/>
    <x v="7"/>
    <x v="2"/>
    <n v="204"/>
    <x v="1"/>
    <n v="64"/>
  </r>
  <r>
    <n v="54"/>
    <n v="30"/>
    <x v="8"/>
    <x v="3"/>
    <n v="205"/>
    <x v="2"/>
    <n v="65"/>
  </r>
  <r>
    <n v="55"/>
    <n v="31"/>
    <x v="9"/>
    <x v="4"/>
    <n v="206"/>
    <x v="0"/>
    <n v="66"/>
  </r>
  <r>
    <n v="56"/>
    <n v="32"/>
    <x v="10"/>
    <x v="5"/>
    <n v="207"/>
    <x v="1"/>
    <n v="67"/>
  </r>
  <r>
    <n v="57"/>
    <n v="33"/>
    <x v="11"/>
    <x v="6"/>
    <n v="208"/>
    <x v="2"/>
    <n v="68"/>
  </r>
  <r>
    <n v="58"/>
    <n v="34"/>
    <x v="12"/>
    <x v="7"/>
    <n v="209"/>
    <x v="0"/>
    <n v="69"/>
  </r>
  <r>
    <n v="59"/>
    <n v="35"/>
    <x v="13"/>
    <x v="8"/>
    <n v="210"/>
    <x v="1"/>
    <n v="70"/>
  </r>
  <r>
    <n v="60"/>
    <n v="36"/>
    <x v="14"/>
    <x v="9"/>
    <n v="211"/>
    <x v="2"/>
    <n v="71"/>
  </r>
  <r>
    <n v="61"/>
    <n v="37"/>
    <x v="0"/>
    <x v="10"/>
    <n v="212"/>
    <x v="0"/>
    <n v="72"/>
  </r>
  <r>
    <n v="62"/>
    <n v="38"/>
    <x v="1"/>
    <x v="11"/>
    <n v="213"/>
    <x v="1"/>
    <n v="73"/>
  </r>
  <r>
    <n v="63"/>
    <n v="39"/>
    <x v="2"/>
    <x v="12"/>
    <n v="214"/>
    <x v="2"/>
    <n v="74"/>
  </r>
  <r>
    <n v="64"/>
    <n v="40"/>
    <x v="3"/>
    <x v="13"/>
    <n v="215"/>
    <x v="0"/>
    <n v="75"/>
  </r>
  <r>
    <n v="65"/>
    <n v="41"/>
    <x v="4"/>
    <x v="14"/>
    <n v="216"/>
    <x v="1"/>
    <n v="76"/>
  </r>
  <r>
    <n v="66"/>
    <n v="42"/>
    <x v="5"/>
    <x v="15"/>
    <n v="217"/>
    <x v="2"/>
    <n v="77"/>
  </r>
  <r>
    <n v="67"/>
    <n v="43"/>
    <x v="6"/>
    <x v="16"/>
    <n v="218"/>
    <x v="0"/>
    <n v="78"/>
  </r>
  <r>
    <n v="68"/>
    <n v="44"/>
    <x v="7"/>
    <x v="17"/>
    <n v="219"/>
    <x v="1"/>
    <n v="79"/>
  </r>
  <r>
    <n v="69"/>
    <n v="45"/>
    <x v="8"/>
    <x v="18"/>
    <n v="220"/>
    <x v="2"/>
    <n v="80"/>
  </r>
  <r>
    <n v="70"/>
    <n v="46"/>
    <x v="9"/>
    <x v="19"/>
    <n v="221"/>
    <x v="0"/>
    <n v="81"/>
  </r>
  <r>
    <n v="71"/>
    <n v="47"/>
    <x v="10"/>
    <x v="20"/>
    <n v="222"/>
    <x v="1"/>
    <n v="82"/>
  </r>
  <r>
    <n v="72"/>
    <n v="48"/>
    <x v="11"/>
    <x v="21"/>
    <n v="223"/>
    <x v="2"/>
    <n v="83"/>
  </r>
  <r>
    <n v="73"/>
    <n v="49"/>
    <x v="12"/>
    <x v="22"/>
    <n v="224"/>
    <x v="0"/>
    <n v="84"/>
  </r>
  <r>
    <n v="74"/>
    <n v="50"/>
    <x v="13"/>
    <x v="23"/>
    <n v="225"/>
    <x v="1"/>
    <n v="85"/>
  </r>
  <r>
    <n v="75"/>
    <n v="51"/>
    <x v="14"/>
    <x v="24"/>
    <n v="226"/>
    <x v="2"/>
    <n v="86"/>
  </r>
  <r>
    <n v="76"/>
    <n v="52"/>
    <x v="0"/>
    <x v="25"/>
    <n v="227"/>
    <x v="0"/>
    <n v="87"/>
  </r>
  <r>
    <n v="77"/>
    <n v="53"/>
    <x v="1"/>
    <x v="26"/>
    <n v="228"/>
    <x v="1"/>
    <n v="88"/>
  </r>
  <r>
    <n v="78"/>
    <n v="54"/>
    <x v="2"/>
    <x v="27"/>
    <n v="229"/>
    <x v="2"/>
    <n v="89"/>
  </r>
  <r>
    <n v="79"/>
    <n v="55"/>
    <x v="3"/>
    <x v="28"/>
    <n v="150"/>
    <x v="0"/>
    <n v="50"/>
  </r>
  <r>
    <n v="80"/>
    <n v="56"/>
    <x v="4"/>
    <x v="29"/>
    <n v="151"/>
    <x v="1"/>
    <n v="51"/>
  </r>
  <r>
    <n v="81"/>
    <n v="57"/>
    <x v="5"/>
    <x v="30"/>
    <n v="152"/>
    <x v="2"/>
    <n v="52"/>
  </r>
  <r>
    <n v="82"/>
    <n v="58"/>
    <x v="6"/>
    <x v="31"/>
    <n v="153"/>
    <x v="0"/>
    <n v="53"/>
  </r>
  <r>
    <n v="83"/>
    <n v="59"/>
    <x v="7"/>
    <x v="32"/>
    <n v="154"/>
    <x v="1"/>
    <n v="54"/>
  </r>
  <r>
    <n v="84"/>
    <n v="60"/>
    <x v="8"/>
    <x v="33"/>
    <n v="155"/>
    <x v="2"/>
    <n v="55"/>
  </r>
  <r>
    <n v="85"/>
    <n v="61"/>
    <x v="9"/>
    <x v="34"/>
    <n v="156"/>
    <x v="0"/>
    <n v="56"/>
  </r>
  <r>
    <n v="86"/>
    <n v="62"/>
    <x v="10"/>
    <x v="35"/>
    <n v="157"/>
    <x v="1"/>
    <n v="57"/>
  </r>
  <r>
    <n v="87"/>
    <n v="63"/>
    <x v="11"/>
    <x v="36"/>
    <n v="158"/>
    <x v="2"/>
    <n v="58"/>
  </r>
  <r>
    <n v="88"/>
    <n v="64"/>
    <x v="12"/>
    <x v="37"/>
    <n v="159"/>
    <x v="0"/>
    <n v="59"/>
  </r>
  <r>
    <n v="89"/>
    <n v="20"/>
    <x v="13"/>
    <x v="38"/>
    <n v="160"/>
    <x v="1"/>
    <n v="60"/>
  </r>
  <r>
    <n v="90"/>
    <n v="21"/>
    <x v="14"/>
    <x v="39"/>
    <n v="161"/>
    <x v="2"/>
    <n v="61"/>
  </r>
  <r>
    <n v="91"/>
    <n v="22"/>
    <x v="0"/>
    <x v="40"/>
    <n v="162"/>
    <x v="0"/>
    <n v="62"/>
  </r>
  <r>
    <n v="92"/>
    <n v="23"/>
    <x v="1"/>
    <x v="41"/>
    <n v="163"/>
    <x v="1"/>
    <n v="63"/>
  </r>
  <r>
    <n v="93"/>
    <n v="24"/>
    <x v="2"/>
    <x v="42"/>
    <n v="164"/>
    <x v="2"/>
    <n v="64"/>
  </r>
  <r>
    <n v="94"/>
    <n v="25"/>
    <x v="3"/>
    <x v="43"/>
    <n v="165"/>
    <x v="0"/>
    <n v="65"/>
  </r>
  <r>
    <n v="95"/>
    <n v="26"/>
    <x v="4"/>
    <x v="44"/>
    <n v="166"/>
    <x v="1"/>
    <n v="66"/>
  </r>
  <r>
    <n v="96"/>
    <n v="27"/>
    <x v="5"/>
    <x v="45"/>
    <n v="167"/>
    <x v="2"/>
    <n v="67"/>
  </r>
  <r>
    <n v="97"/>
    <n v="28"/>
    <x v="6"/>
    <x v="46"/>
    <n v="168"/>
    <x v="0"/>
    <n v="68"/>
  </r>
  <r>
    <n v="98"/>
    <n v="29"/>
    <x v="7"/>
    <x v="47"/>
    <n v="169"/>
    <x v="1"/>
    <n v="69"/>
  </r>
  <r>
    <n v="99"/>
    <n v="30"/>
    <x v="8"/>
    <x v="48"/>
    <n v="170"/>
    <x v="2"/>
    <n v="70"/>
  </r>
  <r>
    <n v="100"/>
    <n v="31"/>
    <x v="9"/>
    <x v="49"/>
    <n v="171"/>
    <x v="0"/>
    <n v="71"/>
  </r>
  <r>
    <n v="101"/>
    <n v="32"/>
    <x v="10"/>
    <x v="0"/>
    <n v="172"/>
    <x v="1"/>
    <n v="72"/>
  </r>
  <r>
    <n v="102"/>
    <n v="33"/>
    <x v="11"/>
    <x v="1"/>
    <n v="173"/>
    <x v="2"/>
    <n v="73"/>
  </r>
  <r>
    <n v="103"/>
    <n v="34"/>
    <x v="12"/>
    <x v="2"/>
    <n v="174"/>
    <x v="0"/>
    <n v="74"/>
  </r>
  <r>
    <n v="104"/>
    <n v="35"/>
    <x v="13"/>
    <x v="3"/>
    <n v="175"/>
    <x v="1"/>
    <n v="75"/>
  </r>
  <r>
    <n v="105"/>
    <n v="36"/>
    <x v="14"/>
    <x v="4"/>
    <n v="176"/>
    <x v="2"/>
    <n v="76"/>
  </r>
  <r>
    <n v="106"/>
    <n v="37"/>
    <x v="0"/>
    <x v="5"/>
    <n v="177"/>
    <x v="0"/>
    <n v="77"/>
  </r>
  <r>
    <n v="107"/>
    <n v="38"/>
    <x v="1"/>
    <x v="6"/>
    <n v="178"/>
    <x v="1"/>
    <n v="78"/>
  </r>
  <r>
    <n v="108"/>
    <n v="39"/>
    <x v="2"/>
    <x v="7"/>
    <n v="179"/>
    <x v="2"/>
    <n v="79"/>
  </r>
  <r>
    <n v="109"/>
    <n v="40"/>
    <x v="3"/>
    <x v="8"/>
    <n v="180"/>
    <x v="0"/>
    <n v="80"/>
  </r>
  <r>
    <n v="110"/>
    <n v="41"/>
    <x v="4"/>
    <x v="9"/>
    <n v="181"/>
    <x v="1"/>
    <n v="81"/>
  </r>
  <r>
    <n v="111"/>
    <n v="42"/>
    <x v="5"/>
    <x v="10"/>
    <n v="182"/>
    <x v="2"/>
    <n v="82"/>
  </r>
  <r>
    <n v="112"/>
    <n v="43"/>
    <x v="6"/>
    <x v="11"/>
    <n v="183"/>
    <x v="0"/>
    <n v="83"/>
  </r>
  <r>
    <n v="113"/>
    <n v="44"/>
    <x v="7"/>
    <x v="12"/>
    <n v="184"/>
    <x v="1"/>
    <n v="84"/>
  </r>
  <r>
    <n v="114"/>
    <n v="45"/>
    <x v="8"/>
    <x v="13"/>
    <n v="185"/>
    <x v="2"/>
    <n v="85"/>
  </r>
  <r>
    <n v="115"/>
    <n v="46"/>
    <x v="9"/>
    <x v="14"/>
    <n v="186"/>
    <x v="0"/>
    <n v="86"/>
  </r>
  <r>
    <n v="116"/>
    <n v="47"/>
    <x v="10"/>
    <x v="15"/>
    <n v="187"/>
    <x v="1"/>
    <n v="87"/>
  </r>
  <r>
    <n v="117"/>
    <n v="48"/>
    <x v="11"/>
    <x v="16"/>
    <n v="188"/>
    <x v="2"/>
    <n v="88"/>
  </r>
  <r>
    <n v="118"/>
    <n v="49"/>
    <x v="12"/>
    <x v="17"/>
    <n v="189"/>
    <x v="0"/>
    <n v="89"/>
  </r>
  <r>
    <n v="119"/>
    <n v="50"/>
    <x v="13"/>
    <x v="18"/>
    <n v="190"/>
    <x v="1"/>
    <n v="50"/>
  </r>
  <r>
    <n v="120"/>
    <n v="51"/>
    <x v="14"/>
    <x v="19"/>
    <n v="191"/>
    <x v="2"/>
    <n v="51"/>
  </r>
  <r>
    <n v="121"/>
    <n v="52"/>
    <x v="0"/>
    <x v="20"/>
    <n v="192"/>
    <x v="0"/>
    <n v="52"/>
  </r>
  <r>
    <n v="122"/>
    <n v="53"/>
    <x v="1"/>
    <x v="21"/>
    <n v="193"/>
    <x v="1"/>
    <n v="53"/>
  </r>
  <r>
    <n v="123"/>
    <n v="54"/>
    <x v="2"/>
    <x v="22"/>
    <n v="194"/>
    <x v="2"/>
    <n v="54"/>
  </r>
  <r>
    <n v="124"/>
    <n v="55"/>
    <x v="3"/>
    <x v="23"/>
    <n v="195"/>
    <x v="0"/>
    <n v="55"/>
  </r>
  <r>
    <n v="125"/>
    <n v="56"/>
    <x v="4"/>
    <x v="24"/>
    <n v="196"/>
    <x v="1"/>
    <n v="56"/>
  </r>
  <r>
    <n v="126"/>
    <n v="57"/>
    <x v="5"/>
    <x v="25"/>
    <n v="197"/>
    <x v="2"/>
    <n v="57"/>
  </r>
  <r>
    <n v="127"/>
    <n v="58"/>
    <x v="6"/>
    <x v="26"/>
    <n v="198"/>
    <x v="0"/>
    <n v="58"/>
  </r>
  <r>
    <n v="128"/>
    <n v="59"/>
    <x v="7"/>
    <x v="27"/>
    <n v="199"/>
    <x v="1"/>
    <n v="59"/>
  </r>
  <r>
    <n v="129"/>
    <n v="60"/>
    <x v="8"/>
    <x v="28"/>
    <n v="200"/>
    <x v="2"/>
    <n v="60"/>
  </r>
  <r>
    <n v="130"/>
    <n v="61"/>
    <x v="9"/>
    <x v="29"/>
    <n v="201"/>
    <x v="0"/>
    <n v="61"/>
  </r>
  <r>
    <n v="131"/>
    <n v="62"/>
    <x v="10"/>
    <x v="30"/>
    <n v="202"/>
    <x v="1"/>
    <n v="62"/>
  </r>
  <r>
    <n v="132"/>
    <n v="63"/>
    <x v="11"/>
    <x v="31"/>
    <n v="203"/>
    <x v="2"/>
    <n v="63"/>
  </r>
  <r>
    <n v="133"/>
    <n v="64"/>
    <x v="12"/>
    <x v="32"/>
    <n v="204"/>
    <x v="0"/>
    <n v="64"/>
  </r>
  <r>
    <n v="134"/>
    <n v="20"/>
    <x v="13"/>
    <x v="33"/>
    <n v="205"/>
    <x v="1"/>
    <n v="65"/>
  </r>
  <r>
    <n v="135"/>
    <n v="21"/>
    <x v="14"/>
    <x v="34"/>
    <n v="206"/>
    <x v="2"/>
    <n v="66"/>
  </r>
  <r>
    <n v="136"/>
    <n v="22"/>
    <x v="0"/>
    <x v="35"/>
    <n v="207"/>
    <x v="0"/>
    <n v="67"/>
  </r>
  <r>
    <n v="137"/>
    <n v="23"/>
    <x v="1"/>
    <x v="36"/>
    <n v="208"/>
    <x v="1"/>
    <n v="68"/>
  </r>
  <r>
    <n v="138"/>
    <n v="24"/>
    <x v="2"/>
    <x v="37"/>
    <n v="209"/>
    <x v="2"/>
    <n v="69"/>
  </r>
  <r>
    <n v="139"/>
    <n v="25"/>
    <x v="3"/>
    <x v="38"/>
    <n v="210"/>
    <x v="0"/>
    <n v="70"/>
  </r>
  <r>
    <n v="140"/>
    <n v="26"/>
    <x v="4"/>
    <x v="39"/>
    <n v="211"/>
    <x v="1"/>
    <n v="71"/>
  </r>
  <r>
    <n v="141"/>
    <n v="27"/>
    <x v="5"/>
    <x v="40"/>
    <n v="212"/>
    <x v="2"/>
    <n v="72"/>
  </r>
  <r>
    <n v="142"/>
    <n v="28"/>
    <x v="6"/>
    <x v="41"/>
    <n v="213"/>
    <x v="0"/>
    <n v="73"/>
  </r>
  <r>
    <n v="143"/>
    <n v="29"/>
    <x v="7"/>
    <x v="42"/>
    <n v="214"/>
    <x v="1"/>
    <n v="74"/>
  </r>
  <r>
    <n v="144"/>
    <n v="30"/>
    <x v="8"/>
    <x v="43"/>
    <n v="215"/>
    <x v="2"/>
    <n v="75"/>
  </r>
  <r>
    <n v="145"/>
    <n v="31"/>
    <x v="9"/>
    <x v="44"/>
    <n v="216"/>
    <x v="0"/>
    <n v="76"/>
  </r>
  <r>
    <n v="146"/>
    <n v="32"/>
    <x v="10"/>
    <x v="45"/>
    <n v="217"/>
    <x v="1"/>
    <n v="77"/>
  </r>
  <r>
    <n v="147"/>
    <n v="33"/>
    <x v="11"/>
    <x v="46"/>
    <n v="218"/>
    <x v="2"/>
    <n v="78"/>
  </r>
  <r>
    <n v="148"/>
    <n v="34"/>
    <x v="12"/>
    <x v="47"/>
    <n v="219"/>
    <x v="0"/>
    <n v="79"/>
  </r>
  <r>
    <n v="149"/>
    <n v="35"/>
    <x v="13"/>
    <x v="48"/>
    <n v="220"/>
    <x v="1"/>
    <n v="80"/>
  </r>
  <r>
    <n v="150"/>
    <n v="36"/>
    <x v="14"/>
    <x v="49"/>
    <n v="221"/>
    <x v="2"/>
    <n v="81"/>
  </r>
  <r>
    <n v="151"/>
    <n v="37"/>
    <x v="0"/>
    <x v="0"/>
    <n v="222"/>
    <x v="0"/>
    <n v="82"/>
  </r>
  <r>
    <n v="152"/>
    <n v="38"/>
    <x v="1"/>
    <x v="1"/>
    <n v="223"/>
    <x v="1"/>
    <n v="83"/>
  </r>
  <r>
    <n v="153"/>
    <n v="39"/>
    <x v="2"/>
    <x v="2"/>
    <n v="224"/>
    <x v="2"/>
    <n v="84"/>
  </r>
  <r>
    <n v="154"/>
    <n v="40"/>
    <x v="3"/>
    <x v="3"/>
    <n v="225"/>
    <x v="0"/>
    <n v="85"/>
  </r>
  <r>
    <n v="155"/>
    <n v="41"/>
    <x v="4"/>
    <x v="4"/>
    <n v="226"/>
    <x v="1"/>
    <n v="86"/>
  </r>
  <r>
    <n v="156"/>
    <n v="42"/>
    <x v="5"/>
    <x v="5"/>
    <n v="227"/>
    <x v="2"/>
    <n v="87"/>
  </r>
  <r>
    <n v="157"/>
    <n v="43"/>
    <x v="6"/>
    <x v="6"/>
    <n v="228"/>
    <x v="0"/>
    <n v="88"/>
  </r>
  <r>
    <n v="158"/>
    <n v="44"/>
    <x v="7"/>
    <x v="7"/>
    <n v="229"/>
    <x v="1"/>
    <n v="89"/>
  </r>
  <r>
    <n v="159"/>
    <n v="45"/>
    <x v="8"/>
    <x v="8"/>
    <n v="150"/>
    <x v="2"/>
    <n v="50"/>
  </r>
  <r>
    <n v="160"/>
    <n v="46"/>
    <x v="9"/>
    <x v="9"/>
    <n v="151"/>
    <x v="0"/>
    <n v="51"/>
  </r>
  <r>
    <n v="161"/>
    <n v="47"/>
    <x v="10"/>
    <x v="10"/>
    <n v="152"/>
    <x v="1"/>
    <n v="52"/>
  </r>
  <r>
    <n v="162"/>
    <n v="48"/>
    <x v="11"/>
    <x v="11"/>
    <n v="153"/>
    <x v="2"/>
    <n v="53"/>
  </r>
  <r>
    <n v="163"/>
    <n v="49"/>
    <x v="12"/>
    <x v="12"/>
    <n v="154"/>
    <x v="0"/>
    <n v="54"/>
  </r>
  <r>
    <n v="164"/>
    <n v="50"/>
    <x v="13"/>
    <x v="13"/>
    <n v="155"/>
    <x v="1"/>
    <n v="55"/>
  </r>
  <r>
    <n v="165"/>
    <n v="51"/>
    <x v="14"/>
    <x v="14"/>
    <n v="156"/>
    <x v="2"/>
    <n v="56"/>
  </r>
  <r>
    <n v="166"/>
    <n v="52"/>
    <x v="0"/>
    <x v="15"/>
    <n v="157"/>
    <x v="0"/>
    <n v="57"/>
  </r>
  <r>
    <n v="167"/>
    <n v="53"/>
    <x v="1"/>
    <x v="16"/>
    <n v="158"/>
    <x v="1"/>
    <n v="58"/>
  </r>
  <r>
    <n v="168"/>
    <n v="54"/>
    <x v="2"/>
    <x v="17"/>
    <n v="159"/>
    <x v="2"/>
    <n v="59"/>
  </r>
  <r>
    <n v="169"/>
    <n v="55"/>
    <x v="3"/>
    <x v="18"/>
    <n v="160"/>
    <x v="0"/>
    <n v="60"/>
  </r>
  <r>
    <n v="170"/>
    <n v="56"/>
    <x v="4"/>
    <x v="19"/>
    <n v="161"/>
    <x v="1"/>
    <n v="61"/>
  </r>
  <r>
    <n v="171"/>
    <n v="57"/>
    <x v="5"/>
    <x v="20"/>
    <n v="162"/>
    <x v="2"/>
    <n v="62"/>
  </r>
  <r>
    <n v="172"/>
    <n v="58"/>
    <x v="6"/>
    <x v="21"/>
    <n v="163"/>
    <x v="0"/>
    <n v="63"/>
  </r>
  <r>
    <n v="173"/>
    <n v="59"/>
    <x v="7"/>
    <x v="22"/>
    <n v="164"/>
    <x v="1"/>
    <n v="64"/>
  </r>
  <r>
    <n v="174"/>
    <n v="60"/>
    <x v="8"/>
    <x v="23"/>
    <n v="165"/>
    <x v="2"/>
    <n v="65"/>
  </r>
  <r>
    <n v="175"/>
    <n v="61"/>
    <x v="9"/>
    <x v="24"/>
    <n v="166"/>
    <x v="0"/>
    <n v="66"/>
  </r>
  <r>
    <n v="176"/>
    <n v="62"/>
    <x v="10"/>
    <x v="25"/>
    <n v="167"/>
    <x v="1"/>
    <n v="67"/>
  </r>
  <r>
    <n v="177"/>
    <n v="63"/>
    <x v="11"/>
    <x v="26"/>
    <n v="168"/>
    <x v="2"/>
    <n v="68"/>
  </r>
  <r>
    <n v="178"/>
    <n v="64"/>
    <x v="12"/>
    <x v="27"/>
    <n v="169"/>
    <x v="0"/>
    <n v="69"/>
  </r>
  <r>
    <n v="179"/>
    <n v="20"/>
    <x v="13"/>
    <x v="28"/>
    <n v="170"/>
    <x v="1"/>
    <n v="70"/>
  </r>
  <r>
    <n v="180"/>
    <n v="21"/>
    <x v="14"/>
    <x v="29"/>
    <n v="171"/>
    <x v="2"/>
    <n v="71"/>
  </r>
  <r>
    <n v="181"/>
    <n v="22"/>
    <x v="0"/>
    <x v="30"/>
    <n v="172"/>
    <x v="0"/>
    <n v="72"/>
  </r>
  <r>
    <n v="182"/>
    <n v="23"/>
    <x v="1"/>
    <x v="31"/>
    <n v="173"/>
    <x v="1"/>
    <n v="73"/>
  </r>
  <r>
    <n v="183"/>
    <n v="24"/>
    <x v="2"/>
    <x v="32"/>
    <n v="174"/>
    <x v="2"/>
    <n v="74"/>
  </r>
  <r>
    <n v="184"/>
    <n v="25"/>
    <x v="3"/>
    <x v="33"/>
    <n v="175"/>
    <x v="0"/>
    <n v="75"/>
  </r>
  <r>
    <n v="185"/>
    <n v="26"/>
    <x v="4"/>
    <x v="34"/>
    <n v="176"/>
    <x v="1"/>
    <n v="76"/>
  </r>
  <r>
    <n v="186"/>
    <n v="27"/>
    <x v="5"/>
    <x v="35"/>
    <n v="177"/>
    <x v="2"/>
    <n v="77"/>
  </r>
  <r>
    <n v="187"/>
    <n v="28"/>
    <x v="6"/>
    <x v="36"/>
    <n v="178"/>
    <x v="0"/>
    <n v="78"/>
  </r>
  <r>
    <n v="188"/>
    <n v="29"/>
    <x v="7"/>
    <x v="37"/>
    <n v="179"/>
    <x v="1"/>
    <n v="79"/>
  </r>
  <r>
    <n v="189"/>
    <n v="30"/>
    <x v="8"/>
    <x v="38"/>
    <n v="180"/>
    <x v="2"/>
    <n v="80"/>
  </r>
  <r>
    <n v="190"/>
    <n v="31"/>
    <x v="9"/>
    <x v="39"/>
    <n v="181"/>
    <x v="0"/>
    <n v="81"/>
  </r>
  <r>
    <n v="191"/>
    <n v="32"/>
    <x v="10"/>
    <x v="40"/>
    <n v="182"/>
    <x v="1"/>
    <n v="82"/>
  </r>
  <r>
    <n v="192"/>
    <n v="33"/>
    <x v="11"/>
    <x v="41"/>
    <n v="183"/>
    <x v="2"/>
    <n v="83"/>
  </r>
  <r>
    <n v="193"/>
    <n v="34"/>
    <x v="12"/>
    <x v="42"/>
    <n v="184"/>
    <x v="0"/>
    <n v="84"/>
  </r>
  <r>
    <n v="194"/>
    <n v="35"/>
    <x v="13"/>
    <x v="43"/>
    <n v="185"/>
    <x v="1"/>
    <n v="85"/>
  </r>
  <r>
    <n v="195"/>
    <n v="36"/>
    <x v="14"/>
    <x v="44"/>
    <n v="186"/>
    <x v="2"/>
    <n v="86"/>
  </r>
  <r>
    <n v="196"/>
    <n v="37"/>
    <x v="0"/>
    <x v="45"/>
    <n v="187"/>
    <x v="0"/>
    <n v="87"/>
  </r>
  <r>
    <n v="197"/>
    <n v="38"/>
    <x v="1"/>
    <x v="46"/>
    <n v="188"/>
    <x v="1"/>
    <n v="88"/>
  </r>
  <r>
    <n v="198"/>
    <n v="39"/>
    <x v="2"/>
    <x v="47"/>
    <n v="189"/>
    <x v="2"/>
    <n v="89"/>
  </r>
  <r>
    <n v="199"/>
    <n v="40"/>
    <x v="3"/>
    <x v="48"/>
    <n v="190"/>
    <x v="0"/>
    <n v="50"/>
  </r>
  <r>
    <n v="200"/>
    <n v="41"/>
    <x v="4"/>
    <x v="49"/>
    <n v="191"/>
    <x v="1"/>
    <n v="5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2"/>
    <x v="0"/>
    <x v="0"/>
    <x v="0"/>
    <x v="0"/>
    <n v="52"/>
  </r>
  <r>
    <n v="2"/>
    <n v="23"/>
    <x v="1"/>
    <x v="1"/>
    <x v="1"/>
    <x v="1"/>
    <n v="53"/>
  </r>
  <r>
    <n v="3"/>
    <n v="24"/>
    <x v="2"/>
    <x v="2"/>
    <x v="2"/>
    <x v="2"/>
    <n v="54"/>
  </r>
  <r>
    <n v="4"/>
    <n v="25"/>
    <x v="3"/>
    <x v="3"/>
    <x v="3"/>
    <x v="0"/>
    <n v="55"/>
  </r>
  <r>
    <n v="5"/>
    <n v="26"/>
    <x v="4"/>
    <x v="4"/>
    <x v="4"/>
    <x v="1"/>
    <n v="56"/>
  </r>
  <r>
    <n v="6"/>
    <n v="27"/>
    <x v="5"/>
    <x v="5"/>
    <x v="5"/>
    <x v="2"/>
    <n v="57"/>
  </r>
  <r>
    <n v="7"/>
    <n v="28"/>
    <x v="6"/>
    <x v="6"/>
    <x v="6"/>
    <x v="0"/>
    <n v="58"/>
  </r>
  <r>
    <n v="8"/>
    <n v="29"/>
    <x v="7"/>
    <x v="7"/>
    <x v="7"/>
    <x v="1"/>
    <n v="59"/>
  </r>
  <r>
    <n v="9"/>
    <n v="30"/>
    <x v="8"/>
    <x v="8"/>
    <x v="8"/>
    <x v="2"/>
    <n v="60"/>
  </r>
  <r>
    <n v="10"/>
    <n v="31"/>
    <x v="9"/>
    <x v="9"/>
    <x v="9"/>
    <x v="0"/>
    <n v="61"/>
  </r>
  <r>
    <n v="11"/>
    <n v="32"/>
    <x v="10"/>
    <x v="10"/>
    <x v="10"/>
    <x v="1"/>
    <n v="62"/>
  </r>
  <r>
    <n v="12"/>
    <n v="33"/>
    <x v="11"/>
    <x v="11"/>
    <x v="11"/>
    <x v="2"/>
    <n v="63"/>
  </r>
  <r>
    <n v="13"/>
    <n v="34"/>
    <x v="12"/>
    <x v="12"/>
    <x v="12"/>
    <x v="0"/>
    <n v="64"/>
  </r>
  <r>
    <n v="14"/>
    <n v="35"/>
    <x v="13"/>
    <x v="13"/>
    <x v="13"/>
    <x v="1"/>
    <n v="65"/>
  </r>
  <r>
    <n v="15"/>
    <n v="36"/>
    <x v="14"/>
    <x v="14"/>
    <x v="14"/>
    <x v="2"/>
    <n v="66"/>
  </r>
  <r>
    <n v="16"/>
    <n v="37"/>
    <x v="0"/>
    <x v="15"/>
    <x v="15"/>
    <x v="0"/>
    <n v="67"/>
  </r>
  <r>
    <n v="17"/>
    <n v="38"/>
    <x v="1"/>
    <x v="16"/>
    <x v="16"/>
    <x v="1"/>
    <n v="68"/>
  </r>
  <r>
    <n v="18"/>
    <n v="39"/>
    <x v="2"/>
    <x v="17"/>
    <x v="17"/>
    <x v="2"/>
    <n v="69"/>
  </r>
  <r>
    <n v="19"/>
    <n v="40"/>
    <x v="3"/>
    <x v="18"/>
    <x v="18"/>
    <x v="0"/>
    <n v="70"/>
  </r>
  <r>
    <n v="20"/>
    <n v="41"/>
    <x v="4"/>
    <x v="19"/>
    <x v="19"/>
    <x v="1"/>
    <n v="71"/>
  </r>
  <r>
    <n v="21"/>
    <n v="42"/>
    <x v="5"/>
    <x v="20"/>
    <x v="20"/>
    <x v="2"/>
    <n v="72"/>
  </r>
  <r>
    <n v="22"/>
    <n v="43"/>
    <x v="6"/>
    <x v="21"/>
    <x v="21"/>
    <x v="0"/>
    <n v="73"/>
  </r>
  <r>
    <n v="23"/>
    <n v="44"/>
    <x v="7"/>
    <x v="22"/>
    <x v="22"/>
    <x v="1"/>
    <n v="74"/>
  </r>
  <r>
    <n v="24"/>
    <n v="45"/>
    <x v="8"/>
    <x v="23"/>
    <x v="23"/>
    <x v="2"/>
    <n v="75"/>
  </r>
  <r>
    <n v="25"/>
    <n v="46"/>
    <x v="9"/>
    <x v="24"/>
    <x v="24"/>
    <x v="0"/>
    <n v="76"/>
  </r>
  <r>
    <n v="26"/>
    <n v="47"/>
    <x v="10"/>
    <x v="25"/>
    <x v="25"/>
    <x v="1"/>
    <n v="77"/>
  </r>
  <r>
    <n v="27"/>
    <n v="48"/>
    <x v="11"/>
    <x v="26"/>
    <x v="26"/>
    <x v="2"/>
    <n v="78"/>
  </r>
  <r>
    <n v="28"/>
    <n v="49"/>
    <x v="12"/>
    <x v="27"/>
    <x v="27"/>
    <x v="0"/>
    <n v="79"/>
  </r>
  <r>
    <n v="29"/>
    <n v="50"/>
    <x v="13"/>
    <x v="28"/>
    <x v="28"/>
    <x v="1"/>
    <n v="80"/>
  </r>
  <r>
    <n v="30"/>
    <n v="51"/>
    <x v="14"/>
    <x v="29"/>
    <x v="29"/>
    <x v="2"/>
    <n v="81"/>
  </r>
  <r>
    <n v="31"/>
    <n v="52"/>
    <x v="0"/>
    <x v="30"/>
    <x v="30"/>
    <x v="0"/>
    <n v="82"/>
  </r>
  <r>
    <n v="32"/>
    <n v="53"/>
    <x v="1"/>
    <x v="31"/>
    <x v="31"/>
    <x v="1"/>
    <n v="83"/>
  </r>
  <r>
    <n v="33"/>
    <n v="54"/>
    <x v="2"/>
    <x v="32"/>
    <x v="32"/>
    <x v="2"/>
    <n v="84"/>
  </r>
  <r>
    <n v="34"/>
    <n v="55"/>
    <x v="3"/>
    <x v="33"/>
    <x v="33"/>
    <x v="0"/>
    <n v="85"/>
  </r>
  <r>
    <n v="35"/>
    <n v="56"/>
    <x v="4"/>
    <x v="34"/>
    <x v="34"/>
    <x v="1"/>
    <n v="86"/>
  </r>
  <r>
    <n v="36"/>
    <n v="57"/>
    <x v="5"/>
    <x v="35"/>
    <x v="35"/>
    <x v="2"/>
    <n v="87"/>
  </r>
  <r>
    <n v="37"/>
    <n v="58"/>
    <x v="6"/>
    <x v="36"/>
    <x v="36"/>
    <x v="0"/>
    <n v="88"/>
  </r>
  <r>
    <n v="38"/>
    <n v="59"/>
    <x v="7"/>
    <x v="37"/>
    <x v="37"/>
    <x v="1"/>
    <n v="89"/>
  </r>
  <r>
    <n v="39"/>
    <n v="60"/>
    <x v="8"/>
    <x v="38"/>
    <x v="38"/>
    <x v="2"/>
    <n v="50"/>
  </r>
  <r>
    <n v="40"/>
    <n v="61"/>
    <x v="9"/>
    <x v="39"/>
    <x v="39"/>
    <x v="0"/>
    <n v="51"/>
  </r>
  <r>
    <n v="41"/>
    <n v="62"/>
    <x v="10"/>
    <x v="40"/>
    <x v="40"/>
    <x v="1"/>
    <n v="52"/>
  </r>
  <r>
    <n v="42"/>
    <n v="63"/>
    <x v="11"/>
    <x v="41"/>
    <x v="41"/>
    <x v="2"/>
    <n v="53"/>
  </r>
  <r>
    <n v="43"/>
    <n v="64"/>
    <x v="12"/>
    <x v="42"/>
    <x v="42"/>
    <x v="0"/>
    <n v="54"/>
  </r>
  <r>
    <n v="44"/>
    <n v="20"/>
    <x v="13"/>
    <x v="43"/>
    <x v="43"/>
    <x v="1"/>
    <n v="55"/>
  </r>
  <r>
    <n v="45"/>
    <n v="21"/>
    <x v="14"/>
    <x v="44"/>
    <x v="44"/>
    <x v="2"/>
    <n v="56"/>
  </r>
  <r>
    <n v="46"/>
    <n v="22"/>
    <x v="0"/>
    <x v="45"/>
    <x v="45"/>
    <x v="0"/>
    <n v="57"/>
  </r>
  <r>
    <n v="47"/>
    <n v="23"/>
    <x v="1"/>
    <x v="46"/>
    <x v="46"/>
    <x v="1"/>
    <n v="58"/>
  </r>
  <r>
    <n v="48"/>
    <n v="24"/>
    <x v="2"/>
    <x v="47"/>
    <x v="47"/>
    <x v="2"/>
    <n v="59"/>
  </r>
  <r>
    <n v="49"/>
    <n v="25"/>
    <x v="3"/>
    <x v="48"/>
    <x v="48"/>
    <x v="0"/>
    <n v="60"/>
  </r>
  <r>
    <n v="50"/>
    <n v="26"/>
    <x v="4"/>
    <x v="49"/>
    <x v="49"/>
    <x v="1"/>
    <n v="61"/>
  </r>
  <r>
    <n v="51"/>
    <n v="27"/>
    <x v="5"/>
    <x v="0"/>
    <x v="50"/>
    <x v="2"/>
    <n v="62"/>
  </r>
  <r>
    <n v="52"/>
    <n v="28"/>
    <x v="6"/>
    <x v="1"/>
    <x v="51"/>
    <x v="0"/>
    <n v="63"/>
  </r>
  <r>
    <n v="53"/>
    <n v="29"/>
    <x v="7"/>
    <x v="2"/>
    <x v="52"/>
    <x v="1"/>
    <n v="64"/>
  </r>
  <r>
    <n v="54"/>
    <n v="30"/>
    <x v="8"/>
    <x v="3"/>
    <x v="53"/>
    <x v="2"/>
    <n v="65"/>
  </r>
  <r>
    <n v="55"/>
    <n v="31"/>
    <x v="9"/>
    <x v="4"/>
    <x v="54"/>
    <x v="0"/>
    <n v="66"/>
  </r>
  <r>
    <n v="56"/>
    <n v="32"/>
    <x v="10"/>
    <x v="5"/>
    <x v="55"/>
    <x v="1"/>
    <n v="67"/>
  </r>
  <r>
    <n v="57"/>
    <n v="33"/>
    <x v="11"/>
    <x v="6"/>
    <x v="56"/>
    <x v="2"/>
    <n v="68"/>
  </r>
  <r>
    <n v="58"/>
    <n v="34"/>
    <x v="12"/>
    <x v="7"/>
    <x v="57"/>
    <x v="0"/>
    <n v="69"/>
  </r>
  <r>
    <n v="59"/>
    <n v="35"/>
    <x v="13"/>
    <x v="8"/>
    <x v="58"/>
    <x v="1"/>
    <n v="70"/>
  </r>
  <r>
    <n v="60"/>
    <n v="36"/>
    <x v="14"/>
    <x v="9"/>
    <x v="59"/>
    <x v="2"/>
    <n v="71"/>
  </r>
  <r>
    <n v="61"/>
    <n v="37"/>
    <x v="0"/>
    <x v="10"/>
    <x v="60"/>
    <x v="0"/>
    <n v="72"/>
  </r>
  <r>
    <n v="62"/>
    <n v="38"/>
    <x v="1"/>
    <x v="11"/>
    <x v="61"/>
    <x v="1"/>
    <n v="73"/>
  </r>
  <r>
    <n v="63"/>
    <n v="39"/>
    <x v="2"/>
    <x v="12"/>
    <x v="62"/>
    <x v="2"/>
    <n v="74"/>
  </r>
  <r>
    <n v="64"/>
    <n v="40"/>
    <x v="3"/>
    <x v="13"/>
    <x v="63"/>
    <x v="0"/>
    <n v="75"/>
  </r>
  <r>
    <n v="65"/>
    <n v="41"/>
    <x v="4"/>
    <x v="14"/>
    <x v="64"/>
    <x v="1"/>
    <n v="76"/>
  </r>
  <r>
    <n v="66"/>
    <n v="42"/>
    <x v="5"/>
    <x v="15"/>
    <x v="65"/>
    <x v="2"/>
    <n v="77"/>
  </r>
  <r>
    <n v="67"/>
    <n v="43"/>
    <x v="6"/>
    <x v="16"/>
    <x v="66"/>
    <x v="0"/>
    <n v="78"/>
  </r>
  <r>
    <n v="68"/>
    <n v="44"/>
    <x v="7"/>
    <x v="17"/>
    <x v="67"/>
    <x v="1"/>
    <n v="79"/>
  </r>
  <r>
    <n v="69"/>
    <n v="45"/>
    <x v="8"/>
    <x v="18"/>
    <x v="68"/>
    <x v="2"/>
    <n v="80"/>
  </r>
  <r>
    <n v="70"/>
    <n v="46"/>
    <x v="9"/>
    <x v="19"/>
    <x v="69"/>
    <x v="0"/>
    <n v="81"/>
  </r>
  <r>
    <n v="71"/>
    <n v="47"/>
    <x v="10"/>
    <x v="20"/>
    <x v="70"/>
    <x v="1"/>
    <n v="82"/>
  </r>
  <r>
    <n v="72"/>
    <n v="48"/>
    <x v="11"/>
    <x v="21"/>
    <x v="71"/>
    <x v="2"/>
    <n v="83"/>
  </r>
  <r>
    <n v="73"/>
    <n v="49"/>
    <x v="12"/>
    <x v="22"/>
    <x v="72"/>
    <x v="0"/>
    <n v="84"/>
  </r>
  <r>
    <n v="74"/>
    <n v="50"/>
    <x v="13"/>
    <x v="23"/>
    <x v="73"/>
    <x v="1"/>
    <n v="85"/>
  </r>
  <r>
    <n v="75"/>
    <n v="51"/>
    <x v="14"/>
    <x v="24"/>
    <x v="74"/>
    <x v="2"/>
    <n v="86"/>
  </r>
  <r>
    <n v="76"/>
    <n v="52"/>
    <x v="0"/>
    <x v="25"/>
    <x v="75"/>
    <x v="0"/>
    <n v="87"/>
  </r>
  <r>
    <n v="77"/>
    <n v="53"/>
    <x v="1"/>
    <x v="26"/>
    <x v="76"/>
    <x v="1"/>
    <n v="88"/>
  </r>
  <r>
    <n v="78"/>
    <n v="54"/>
    <x v="2"/>
    <x v="27"/>
    <x v="77"/>
    <x v="2"/>
    <n v="89"/>
  </r>
  <r>
    <n v="79"/>
    <n v="55"/>
    <x v="3"/>
    <x v="28"/>
    <x v="78"/>
    <x v="0"/>
    <n v="50"/>
  </r>
  <r>
    <n v="80"/>
    <n v="56"/>
    <x v="4"/>
    <x v="29"/>
    <x v="79"/>
    <x v="1"/>
    <n v="51"/>
  </r>
  <r>
    <n v="81"/>
    <n v="57"/>
    <x v="5"/>
    <x v="30"/>
    <x v="0"/>
    <x v="2"/>
    <n v="52"/>
  </r>
  <r>
    <n v="82"/>
    <n v="58"/>
    <x v="6"/>
    <x v="31"/>
    <x v="1"/>
    <x v="0"/>
    <n v="53"/>
  </r>
  <r>
    <n v="83"/>
    <n v="59"/>
    <x v="7"/>
    <x v="32"/>
    <x v="2"/>
    <x v="1"/>
    <n v="54"/>
  </r>
  <r>
    <n v="84"/>
    <n v="60"/>
    <x v="8"/>
    <x v="33"/>
    <x v="3"/>
    <x v="2"/>
    <n v="55"/>
  </r>
  <r>
    <n v="85"/>
    <n v="61"/>
    <x v="9"/>
    <x v="34"/>
    <x v="4"/>
    <x v="0"/>
    <n v="56"/>
  </r>
  <r>
    <n v="86"/>
    <n v="62"/>
    <x v="10"/>
    <x v="35"/>
    <x v="5"/>
    <x v="1"/>
    <n v="57"/>
  </r>
  <r>
    <n v="87"/>
    <n v="63"/>
    <x v="11"/>
    <x v="36"/>
    <x v="6"/>
    <x v="2"/>
    <n v="58"/>
  </r>
  <r>
    <n v="88"/>
    <n v="64"/>
    <x v="12"/>
    <x v="37"/>
    <x v="7"/>
    <x v="0"/>
    <n v="59"/>
  </r>
  <r>
    <n v="89"/>
    <n v="20"/>
    <x v="13"/>
    <x v="38"/>
    <x v="8"/>
    <x v="1"/>
    <n v="60"/>
  </r>
  <r>
    <n v="90"/>
    <n v="21"/>
    <x v="14"/>
    <x v="39"/>
    <x v="9"/>
    <x v="2"/>
    <n v="61"/>
  </r>
  <r>
    <n v="91"/>
    <n v="22"/>
    <x v="0"/>
    <x v="40"/>
    <x v="10"/>
    <x v="0"/>
    <n v="62"/>
  </r>
  <r>
    <n v="92"/>
    <n v="23"/>
    <x v="1"/>
    <x v="41"/>
    <x v="11"/>
    <x v="1"/>
    <n v="63"/>
  </r>
  <r>
    <n v="93"/>
    <n v="24"/>
    <x v="2"/>
    <x v="42"/>
    <x v="12"/>
    <x v="2"/>
    <n v="64"/>
  </r>
  <r>
    <n v="94"/>
    <n v="25"/>
    <x v="3"/>
    <x v="43"/>
    <x v="13"/>
    <x v="0"/>
    <n v="65"/>
  </r>
  <r>
    <n v="95"/>
    <n v="26"/>
    <x v="4"/>
    <x v="44"/>
    <x v="14"/>
    <x v="1"/>
    <n v="66"/>
  </r>
  <r>
    <n v="96"/>
    <n v="27"/>
    <x v="5"/>
    <x v="45"/>
    <x v="15"/>
    <x v="2"/>
    <n v="67"/>
  </r>
  <r>
    <n v="97"/>
    <n v="28"/>
    <x v="6"/>
    <x v="46"/>
    <x v="16"/>
    <x v="0"/>
    <n v="68"/>
  </r>
  <r>
    <n v="98"/>
    <n v="29"/>
    <x v="7"/>
    <x v="47"/>
    <x v="17"/>
    <x v="1"/>
    <n v="69"/>
  </r>
  <r>
    <n v="99"/>
    <n v="30"/>
    <x v="8"/>
    <x v="48"/>
    <x v="18"/>
    <x v="2"/>
    <n v="70"/>
  </r>
  <r>
    <n v="100"/>
    <n v="31"/>
    <x v="9"/>
    <x v="49"/>
    <x v="19"/>
    <x v="0"/>
    <n v="71"/>
  </r>
  <r>
    <n v="101"/>
    <n v="32"/>
    <x v="10"/>
    <x v="0"/>
    <x v="20"/>
    <x v="1"/>
    <n v="72"/>
  </r>
  <r>
    <n v="102"/>
    <n v="33"/>
    <x v="11"/>
    <x v="1"/>
    <x v="21"/>
    <x v="2"/>
    <n v="73"/>
  </r>
  <r>
    <n v="103"/>
    <n v="34"/>
    <x v="12"/>
    <x v="2"/>
    <x v="22"/>
    <x v="0"/>
    <n v="74"/>
  </r>
  <r>
    <n v="104"/>
    <n v="35"/>
    <x v="13"/>
    <x v="3"/>
    <x v="23"/>
    <x v="1"/>
    <n v="75"/>
  </r>
  <r>
    <n v="105"/>
    <n v="36"/>
    <x v="14"/>
    <x v="4"/>
    <x v="24"/>
    <x v="2"/>
    <n v="76"/>
  </r>
  <r>
    <n v="106"/>
    <n v="37"/>
    <x v="0"/>
    <x v="5"/>
    <x v="25"/>
    <x v="0"/>
    <n v="77"/>
  </r>
  <r>
    <n v="107"/>
    <n v="38"/>
    <x v="1"/>
    <x v="6"/>
    <x v="26"/>
    <x v="1"/>
    <n v="78"/>
  </r>
  <r>
    <n v="108"/>
    <n v="39"/>
    <x v="2"/>
    <x v="7"/>
    <x v="27"/>
    <x v="2"/>
    <n v="79"/>
  </r>
  <r>
    <n v="109"/>
    <n v="40"/>
    <x v="3"/>
    <x v="8"/>
    <x v="28"/>
    <x v="0"/>
    <n v="80"/>
  </r>
  <r>
    <n v="110"/>
    <n v="41"/>
    <x v="4"/>
    <x v="9"/>
    <x v="29"/>
    <x v="1"/>
    <n v="81"/>
  </r>
  <r>
    <n v="111"/>
    <n v="42"/>
    <x v="5"/>
    <x v="10"/>
    <x v="30"/>
    <x v="2"/>
    <n v="82"/>
  </r>
  <r>
    <n v="112"/>
    <n v="43"/>
    <x v="6"/>
    <x v="11"/>
    <x v="31"/>
    <x v="0"/>
    <n v="83"/>
  </r>
  <r>
    <n v="113"/>
    <n v="44"/>
    <x v="7"/>
    <x v="12"/>
    <x v="32"/>
    <x v="1"/>
    <n v="84"/>
  </r>
  <r>
    <n v="114"/>
    <n v="45"/>
    <x v="8"/>
    <x v="13"/>
    <x v="33"/>
    <x v="2"/>
    <n v="85"/>
  </r>
  <r>
    <n v="115"/>
    <n v="46"/>
    <x v="9"/>
    <x v="14"/>
    <x v="34"/>
    <x v="0"/>
    <n v="86"/>
  </r>
  <r>
    <n v="116"/>
    <n v="47"/>
    <x v="10"/>
    <x v="15"/>
    <x v="35"/>
    <x v="1"/>
    <n v="87"/>
  </r>
  <r>
    <n v="117"/>
    <n v="48"/>
    <x v="11"/>
    <x v="16"/>
    <x v="36"/>
    <x v="2"/>
    <n v="88"/>
  </r>
  <r>
    <n v="118"/>
    <n v="49"/>
    <x v="12"/>
    <x v="17"/>
    <x v="37"/>
    <x v="0"/>
    <n v="89"/>
  </r>
  <r>
    <n v="119"/>
    <n v="50"/>
    <x v="13"/>
    <x v="18"/>
    <x v="38"/>
    <x v="1"/>
    <n v="50"/>
  </r>
  <r>
    <n v="120"/>
    <n v="51"/>
    <x v="14"/>
    <x v="19"/>
    <x v="39"/>
    <x v="2"/>
    <n v="51"/>
  </r>
  <r>
    <n v="121"/>
    <n v="52"/>
    <x v="0"/>
    <x v="20"/>
    <x v="40"/>
    <x v="0"/>
    <n v="52"/>
  </r>
  <r>
    <n v="122"/>
    <n v="53"/>
    <x v="1"/>
    <x v="21"/>
    <x v="41"/>
    <x v="1"/>
    <n v="53"/>
  </r>
  <r>
    <n v="123"/>
    <n v="54"/>
    <x v="2"/>
    <x v="22"/>
    <x v="42"/>
    <x v="2"/>
    <n v="54"/>
  </r>
  <r>
    <n v="124"/>
    <n v="55"/>
    <x v="3"/>
    <x v="23"/>
    <x v="43"/>
    <x v="0"/>
    <n v="55"/>
  </r>
  <r>
    <n v="125"/>
    <n v="56"/>
    <x v="4"/>
    <x v="24"/>
    <x v="44"/>
    <x v="1"/>
    <n v="56"/>
  </r>
  <r>
    <n v="126"/>
    <n v="57"/>
    <x v="5"/>
    <x v="25"/>
    <x v="45"/>
    <x v="2"/>
    <n v="57"/>
  </r>
  <r>
    <n v="127"/>
    <n v="58"/>
    <x v="6"/>
    <x v="26"/>
    <x v="46"/>
    <x v="0"/>
    <n v="58"/>
  </r>
  <r>
    <n v="128"/>
    <n v="59"/>
    <x v="7"/>
    <x v="27"/>
    <x v="47"/>
    <x v="1"/>
    <n v="59"/>
  </r>
  <r>
    <n v="129"/>
    <n v="60"/>
    <x v="8"/>
    <x v="28"/>
    <x v="48"/>
    <x v="2"/>
    <n v="60"/>
  </r>
  <r>
    <n v="130"/>
    <n v="61"/>
    <x v="9"/>
    <x v="29"/>
    <x v="49"/>
    <x v="0"/>
    <n v="61"/>
  </r>
  <r>
    <n v="131"/>
    <n v="62"/>
    <x v="10"/>
    <x v="30"/>
    <x v="50"/>
    <x v="1"/>
    <n v="62"/>
  </r>
  <r>
    <n v="132"/>
    <n v="63"/>
    <x v="11"/>
    <x v="31"/>
    <x v="51"/>
    <x v="2"/>
    <n v="63"/>
  </r>
  <r>
    <n v="133"/>
    <n v="64"/>
    <x v="12"/>
    <x v="32"/>
    <x v="52"/>
    <x v="0"/>
    <n v="64"/>
  </r>
  <r>
    <n v="134"/>
    <n v="20"/>
    <x v="13"/>
    <x v="33"/>
    <x v="53"/>
    <x v="1"/>
    <n v="65"/>
  </r>
  <r>
    <n v="135"/>
    <n v="21"/>
    <x v="14"/>
    <x v="34"/>
    <x v="54"/>
    <x v="2"/>
    <n v="66"/>
  </r>
  <r>
    <n v="136"/>
    <n v="22"/>
    <x v="0"/>
    <x v="35"/>
    <x v="55"/>
    <x v="0"/>
    <n v="67"/>
  </r>
  <r>
    <n v="137"/>
    <n v="23"/>
    <x v="1"/>
    <x v="36"/>
    <x v="56"/>
    <x v="1"/>
    <n v="68"/>
  </r>
  <r>
    <n v="138"/>
    <n v="24"/>
    <x v="2"/>
    <x v="37"/>
    <x v="57"/>
    <x v="2"/>
    <n v="69"/>
  </r>
  <r>
    <n v="139"/>
    <n v="25"/>
    <x v="3"/>
    <x v="38"/>
    <x v="58"/>
    <x v="0"/>
    <n v="70"/>
  </r>
  <r>
    <n v="140"/>
    <n v="26"/>
    <x v="4"/>
    <x v="39"/>
    <x v="59"/>
    <x v="1"/>
    <n v="71"/>
  </r>
  <r>
    <n v="141"/>
    <n v="27"/>
    <x v="5"/>
    <x v="40"/>
    <x v="60"/>
    <x v="2"/>
    <n v="72"/>
  </r>
  <r>
    <n v="142"/>
    <n v="28"/>
    <x v="6"/>
    <x v="41"/>
    <x v="61"/>
    <x v="0"/>
    <n v="73"/>
  </r>
  <r>
    <n v="143"/>
    <n v="29"/>
    <x v="7"/>
    <x v="42"/>
    <x v="62"/>
    <x v="1"/>
    <n v="74"/>
  </r>
  <r>
    <n v="144"/>
    <n v="30"/>
    <x v="8"/>
    <x v="43"/>
    <x v="63"/>
    <x v="2"/>
    <n v="75"/>
  </r>
  <r>
    <n v="145"/>
    <n v="31"/>
    <x v="9"/>
    <x v="44"/>
    <x v="64"/>
    <x v="0"/>
    <n v="76"/>
  </r>
  <r>
    <n v="146"/>
    <n v="32"/>
    <x v="10"/>
    <x v="45"/>
    <x v="65"/>
    <x v="1"/>
    <n v="77"/>
  </r>
  <r>
    <n v="147"/>
    <n v="33"/>
    <x v="11"/>
    <x v="46"/>
    <x v="66"/>
    <x v="2"/>
    <n v="78"/>
  </r>
  <r>
    <n v="148"/>
    <n v="34"/>
    <x v="12"/>
    <x v="47"/>
    <x v="67"/>
    <x v="0"/>
    <n v="79"/>
  </r>
  <r>
    <n v="149"/>
    <n v="35"/>
    <x v="13"/>
    <x v="48"/>
    <x v="68"/>
    <x v="1"/>
    <n v="80"/>
  </r>
  <r>
    <n v="150"/>
    <n v="36"/>
    <x v="14"/>
    <x v="49"/>
    <x v="69"/>
    <x v="2"/>
    <n v="81"/>
  </r>
  <r>
    <n v="151"/>
    <n v="37"/>
    <x v="0"/>
    <x v="0"/>
    <x v="70"/>
    <x v="0"/>
    <n v="82"/>
  </r>
  <r>
    <n v="152"/>
    <n v="38"/>
    <x v="1"/>
    <x v="1"/>
    <x v="71"/>
    <x v="1"/>
    <n v="83"/>
  </r>
  <r>
    <n v="153"/>
    <n v="39"/>
    <x v="2"/>
    <x v="2"/>
    <x v="72"/>
    <x v="2"/>
    <n v="84"/>
  </r>
  <r>
    <n v="154"/>
    <n v="40"/>
    <x v="3"/>
    <x v="3"/>
    <x v="73"/>
    <x v="0"/>
    <n v="85"/>
  </r>
  <r>
    <n v="155"/>
    <n v="41"/>
    <x v="4"/>
    <x v="4"/>
    <x v="74"/>
    <x v="1"/>
    <n v="86"/>
  </r>
  <r>
    <n v="156"/>
    <n v="42"/>
    <x v="5"/>
    <x v="5"/>
    <x v="75"/>
    <x v="2"/>
    <n v="87"/>
  </r>
  <r>
    <n v="157"/>
    <n v="43"/>
    <x v="6"/>
    <x v="6"/>
    <x v="76"/>
    <x v="0"/>
    <n v="88"/>
  </r>
  <r>
    <n v="158"/>
    <n v="44"/>
    <x v="7"/>
    <x v="7"/>
    <x v="77"/>
    <x v="1"/>
    <n v="89"/>
  </r>
  <r>
    <n v="159"/>
    <n v="45"/>
    <x v="8"/>
    <x v="8"/>
    <x v="78"/>
    <x v="2"/>
    <n v="50"/>
  </r>
  <r>
    <n v="160"/>
    <n v="46"/>
    <x v="9"/>
    <x v="9"/>
    <x v="79"/>
    <x v="0"/>
    <n v="51"/>
  </r>
  <r>
    <n v="161"/>
    <n v="47"/>
    <x v="10"/>
    <x v="10"/>
    <x v="0"/>
    <x v="1"/>
    <n v="52"/>
  </r>
  <r>
    <n v="162"/>
    <n v="48"/>
    <x v="11"/>
    <x v="11"/>
    <x v="1"/>
    <x v="2"/>
    <n v="53"/>
  </r>
  <r>
    <n v="163"/>
    <n v="49"/>
    <x v="12"/>
    <x v="12"/>
    <x v="2"/>
    <x v="0"/>
    <n v="54"/>
  </r>
  <r>
    <n v="164"/>
    <n v="50"/>
    <x v="13"/>
    <x v="13"/>
    <x v="3"/>
    <x v="1"/>
    <n v="55"/>
  </r>
  <r>
    <n v="165"/>
    <n v="51"/>
    <x v="14"/>
    <x v="14"/>
    <x v="4"/>
    <x v="2"/>
    <n v="56"/>
  </r>
  <r>
    <n v="166"/>
    <n v="52"/>
    <x v="0"/>
    <x v="15"/>
    <x v="5"/>
    <x v="0"/>
    <n v="57"/>
  </r>
  <r>
    <n v="167"/>
    <n v="53"/>
    <x v="1"/>
    <x v="16"/>
    <x v="6"/>
    <x v="1"/>
    <n v="58"/>
  </r>
  <r>
    <n v="168"/>
    <n v="54"/>
    <x v="2"/>
    <x v="17"/>
    <x v="7"/>
    <x v="2"/>
    <n v="59"/>
  </r>
  <r>
    <n v="169"/>
    <n v="55"/>
    <x v="3"/>
    <x v="18"/>
    <x v="8"/>
    <x v="0"/>
    <n v="60"/>
  </r>
  <r>
    <n v="170"/>
    <n v="56"/>
    <x v="4"/>
    <x v="19"/>
    <x v="9"/>
    <x v="1"/>
    <n v="61"/>
  </r>
  <r>
    <n v="171"/>
    <n v="57"/>
    <x v="5"/>
    <x v="20"/>
    <x v="10"/>
    <x v="2"/>
    <n v="62"/>
  </r>
  <r>
    <n v="172"/>
    <n v="58"/>
    <x v="6"/>
    <x v="21"/>
    <x v="11"/>
    <x v="0"/>
    <n v="63"/>
  </r>
  <r>
    <n v="173"/>
    <n v="59"/>
    <x v="7"/>
    <x v="22"/>
    <x v="12"/>
    <x v="1"/>
    <n v="64"/>
  </r>
  <r>
    <n v="174"/>
    <n v="60"/>
    <x v="8"/>
    <x v="23"/>
    <x v="13"/>
    <x v="2"/>
    <n v="65"/>
  </r>
  <r>
    <n v="175"/>
    <n v="61"/>
    <x v="9"/>
    <x v="24"/>
    <x v="14"/>
    <x v="0"/>
    <n v="66"/>
  </r>
  <r>
    <n v="176"/>
    <n v="62"/>
    <x v="10"/>
    <x v="25"/>
    <x v="15"/>
    <x v="1"/>
    <n v="67"/>
  </r>
  <r>
    <n v="177"/>
    <n v="63"/>
    <x v="11"/>
    <x v="26"/>
    <x v="16"/>
    <x v="2"/>
    <n v="68"/>
  </r>
  <r>
    <n v="178"/>
    <n v="64"/>
    <x v="12"/>
    <x v="27"/>
    <x v="17"/>
    <x v="0"/>
    <n v="69"/>
  </r>
  <r>
    <n v="179"/>
    <n v="20"/>
    <x v="13"/>
    <x v="28"/>
    <x v="18"/>
    <x v="1"/>
    <n v="70"/>
  </r>
  <r>
    <n v="180"/>
    <n v="21"/>
    <x v="14"/>
    <x v="29"/>
    <x v="19"/>
    <x v="2"/>
    <n v="71"/>
  </r>
  <r>
    <n v="181"/>
    <n v="22"/>
    <x v="0"/>
    <x v="30"/>
    <x v="20"/>
    <x v="0"/>
    <n v="72"/>
  </r>
  <r>
    <n v="182"/>
    <n v="23"/>
    <x v="1"/>
    <x v="31"/>
    <x v="21"/>
    <x v="1"/>
    <n v="73"/>
  </r>
  <r>
    <n v="183"/>
    <n v="24"/>
    <x v="2"/>
    <x v="32"/>
    <x v="22"/>
    <x v="2"/>
    <n v="74"/>
  </r>
  <r>
    <n v="184"/>
    <n v="25"/>
    <x v="3"/>
    <x v="33"/>
    <x v="23"/>
    <x v="0"/>
    <n v="75"/>
  </r>
  <r>
    <n v="185"/>
    <n v="26"/>
    <x v="4"/>
    <x v="34"/>
    <x v="24"/>
    <x v="1"/>
    <n v="76"/>
  </r>
  <r>
    <n v="186"/>
    <n v="27"/>
    <x v="5"/>
    <x v="35"/>
    <x v="25"/>
    <x v="2"/>
    <n v="77"/>
  </r>
  <r>
    <n v="187"/>
    <n v="28"/>
    <x v="6"/>
    <x v="36"/>
    <x v="26"/>
    <x v="0"/>
    <n v="78"/>
  </r>
  <r>
    <n v="188"/>
    <n v="29"/>
    <x v="7"/>
    <x v="37"/>
    <x v="27"/>
    <x v="1"/>
    <n v="79"/>
  </r>
  <r>
    <n v="189"/>
    <n v="30"/>
    <x v="8"/>
    <x v="38"/>
    <x v="28"/>
    <x v="2"/>
    <n v="80"/>
  </r>
  <r>
    <n v="190"/>
    <n v="31"/>
    <x v="9"/>
    <x v="39"/>
    <x v="29"/>
    <x v="0"/>
    <n v="81"/>
  </r>
  <r>
    <n v="191"/>
    <n v="32"/>
    <x v="10"/>
    <x v="40"/>
    <x v="30"/>
    <x v="1"/>
    <n v="82"/>
  </r>
  <r>
    <n v="192"/>
    <n v="33"/>
    <x v="11"/>
    <x v="41"/>
    <x v="31"/>
    <x v="2"/>
    <n v="83"/>
  </r>
  <r>
    <n v="193"/>
    <n v="34"/>
    <x v="12"/>
    <x v="42"/>
    <x v="32"/>
    <x v="0"/>
    <n v="84"/>
  </r>
  <r>
    <n v="194"/>
    <n v="35"/>
    <x v="13"/>
    <x v="43"/>
    <x v="33"/>
    <x v="1"/>
    <n v="85"/>
  </r>
  <r>
    <n v="195"/>
    <n v="36"/>
    <x v="14"/>
    <x v="44"/>
    <x v="34"/>
    <x v="2"/>
    <n v="86"/>
  </r>
  <r>
    <n v="196"/>
    <n v="37"/>
    <x v="0"/>
    <x v="45"/>
    <x v="35"/>
    <x v="0"/>
    <n v="87"/>
  </r>
  <r>
    <n v="197"/>
    <n v="38"/>
    <x v="1"/>
    <x v="46"/>
    <x v="36"/>
    <x v="1"/>
    <n v="88"/>
  </r>
  <r>
    <n v="198"/>
    <n v="39"/>
    <x v="2"/>
    <x v="47"/>
    <x v="37"/>
    <x v="2"/>
    <n v="89"/>
  </r>
  <r>
    <n v="199"/>
    <n v="40"/>
    <x v="3"/>
    <x v="48"/>
    <x v="38"/>
    <x v="0"/>
    <n v="50"/>
  </r>
  <r>
    <n v="200"/>
    <n v="41"/>
    <x v="4"/>
    <x v="49"/>
    <x v="39"/>
    <x v="1"/>
    <n v="5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x v="0"/>
    <x v="0"/>
    <x v="0"/>
    <n v="152"/>
    <x v="0"/>
    <x v="0"/>
  </r>
  <r>
    <n v="2"/>
    <x v="1"/>
    <x v="1"/>
    <x v="1"/>
    <n v="153"/>
    <x v="1"/>
    <x v="1"/>
  </r>
  <r>
    <n v="3"/>
    <x v="2"/>
    <x v="2"/>
    <x v="2"/>
    <n v="154"/>
    <x v="2"/>
    <x v="2"/>
  </r>
  <r>
    <n v="4"/>
    <x v="3"/>
    <x v="3"/>
    <x v="3"/>
    <n v="155"/>
    <x v="0"/>
    <x v="3"/>
  </r>
  <r>
    <n v="5"/>
    <x v="4"/>
    <x v="4"/>
    <x v="4"/>
    <n v="156"/>
    <x v="1"/>
    <x v="4"/>
  </r>
  <r>
    <n v="6"/>
    <x v="5"/>
    <x v="5"/>
    <x v="5"/>
    <n v="157"/>
    <x v="2"/>
    <x v="5"/>
  </r>
  <r>
    <n v="7"/>
    <x v="6"/>
    <x v="6"/>
    <x v="6"/>
    <n v="158"/>
    <x v="0"/>
    <x v="6"/>
  </r>
  <r>
    <n v="8"/>
    <x v="7"/>
    <x v="7"/>
    <x v="7"/>
    <n v="159"/>
    <x v="1"/>
    <x v="7"/>
  </r>
  <r>
    <n v="9"/>
    <x v="8"/>
    <x v="8"/>
    <x v="8"/>
    <n v="160"/>
    <x v="2"/>
    <x v="8"/>
  </r>
  <r>
    <n v="10"/>
    <x v="9"/>
    <x v="9"/>
    <x v="9"/>
    <n v="161"/>
    <x v="0"/>
    <x v="9"/>
  </r>
  <r>
    <n v="11"/>
    <x v="10"/>
    <x v="10"/>
    <x v="10"/>
    <n v="162"/>
    <x v="1"/>
    <x v="10"/>
  </r>
  <r>
    <n v="12"/>
    <x v="11"/>
    <x v="11"/>
    <x v="11"/>
    <n v="163"/>
    <x v="2"/>
    <x v="11"/>
  </r>
  <r>
    <n v="13"/>
    <x v="12"/>
    <x v="12"/>
    <x v="12"/>
    <n v="164"/>
    <x v="0"/>
    <x v="12"/>
  </r>
  <r>
    <n v="14"/>
    <x v="13"/>
    <x v="13"/>
    <x v="13"/>
    <n v="165"/>
    <x v="1"/>
    <x v="13"/>
  </r>
  <r>
    <n v="15"/>
    <x v="14"/>
    <x v="14"/>
    <x v="14"/>
    <n v="166"/>
    <x v="2"/>
    <x v="14"/>
  </r>
  <r>
    <n v="16"/>
    <x v="15"/>
    <x v="0"/>
    <x v="15"/>
    <n v="167"/>
    <x v="0"/>
    <x v="15"/>
  </r>
  <r>
    <n v="17"/>
    <x v="16"/>
    <x v="1"/>
    <x v="16"/>
    <n v="168"/>
    <x v="1"/>
    <x v="16"/>
  </r>
  <r>
    <n v="18"/>
    <x v="17"/>
    <x v="2"/>
    <x v="17"/>
    <n v="169"/>
    <x v="2"/>
    <x v="17"/>
  </r>
  <r>
    <n v="19"/>
    <x v="18"/>
    <x v="3"/>
    <x v="18"/>
    <n v="170"/>
    <x v="0"/>
    <x v="18"/>
  </r>
  <r>
    <n v="20"/>
    <x v="19"/>
    <x v="4"/>
    <x v="19"/>
    <n v="171"/>
    <x v="1"/>
    <x v="19"/>
  </r>
  <r>
    <n v="21"/>
    <x v="20"/>
    <x v="5"/>
    <x v="20"/>
    <n v="172"/>
    <x v="2"/>
    <x v="20"/>
  </r>
  <r>
    <n v="22"/>
    <x v="21"/>
    <x v="6"/>
    <x v="21"/>
    <n v="173"/>
    <x v="0"/>
    <x v="21"/>
  </r>
  <r>
    <n v="23"/>
    <x v="22"/>
    <x v="7"/>
    <x v="22"/>
    <n v="174"/>
    <x v="1"/>
    <x v="22"/>
  </r>
  <r>
    <n v="24"/>
    <x v="23"/>
    <x v="8"/>
    <x v="23"/>
    <n v="175"/>
    <x v="2"/>
    <x v="23"/>
  </r>
  <r>
    <n v="25"/>
    <x v="24"/>
    <x v="9"/>
    <x v="24"/>
    <n v="176"/>
    <x v="0"/>
    <x v="24"/>
  </r>
  <r>
    <n v="26"/>
    <x v="25"/>
    <x v="10"/>
    <x v="25"/>
    <n v="177"/>
    <x v="1"/>
    <x v="25"/>
  </r>
  <r>
    <n v="27"/>
    <x v="26"/>
    <x v="11"/>
    <x v="26"/>
    <n v="178"/>
    <x v="2"/>
    <x v="26"/>
  </r>
  <r>
    <n v="28"/>
    <x v="27"/>
    <x v="12"/>
    <x v="27"/>
    <n v="179"/>
    <x v="0"/>
    <x v="27"/>
  </r>
  <r>
    <n v="29"/>
    <x v="28"/>
    <x v="13"/>
    <x v="28"/>
    <n v="180"/>
    <x v="1"/>
    <x v="28"/>
  </r>
  <r>
    <n v="30"/>
    <x v="29"/>
    <x v="14"/>
    <x v="29"/>
    <n v="181"/>
    <x v="2"/>
    <x v="29"/>
  </r>
  <r>
    <n v="31"/>
    <x v="30"/>
    <x v="0"/>
    <x v="30"/>
    <n v="182"/>
    <x v="0"/>
    <x v="30"/>
  </r>
  <r>
    <n v="32"/>
    <x v="31"/>
    <x v="1"/>
    <x v="31"/>
    <n v="183"/>
    <x v="1"/>
    <x v="31"/>
  </r>
  <r>
    <n v="33"/>
    <x v="32"/>
    <x v="2"/>
    <x v="32"/>
    <n v="184"/>
    <x v="2"/>
    <x v="32"/>
  </r>
  <r>
    <n v="34"/>
    <x v="33"/>
    <x v="3"/>
    <x v="33"/>
    <n v="185"/>
    <x v="0"/>
    <x v="33"/>
  </r>
  <r>
    <n v="35"/>
    <x v="34"/>
    <x v="4"/>
    <x v="34"/>
    <n v="186"/>
    <x v="1"/>
    <x v="34"/>
  </r>
  <r>
    <n v="36"/>
    <x v="35"/>
    <x v="5"/>
    <x v="35"/>
    <n v="187"/>
    <x v="2"/>
    <x v="35"/>
  </r>
  <r>
    <n v="37"/>
    <x v="36"/>
    <x v="6"/>
    <x v="36"/>
    <n v="188"/>
    <x v="0"/>
    <x v="36"/>
  </r>
  <r>
    <n v="38"/>
    <x v="37"/>
    <x v="7"/>
    <x v="37"/>
    <n v="189"/>
    <x v="1"/>
    <x v="37"/>
  </r>
  <r>
    <n v="39"/>
    <x v="38"/>
    <x v="8"/>
    <x v="38"/>
    <n v="190"/>
    <x v="2"/>
    <x v="38"/>
  </r>
  <r>
    <n v="40"/>
    <x v="39"/>
    <x v="9"/>
    <x v="39"/>
    <n v="191"/>
    <x v="0"/>
    <x v="39"/>
  </r>
  <r>
    <n v="41"/>
    <x v="40"/>
    <x v="10"/>
    <x v="40"/>
    <n v="192"/>
    <x v="1"/>
    <x v="0"/>
  </r>
  <r>
    <n v="42"/>
    <x v="41"/>
    <x v="11"/>
    <x v="41"/>
    <n v="193"/>
    <x v="2"/>
    <x v="1"/>
  </r>
  <r>
    <n v="43"/>
    <x v="42"/>
    <x v="12"/>
    <x v="42"/>
    <n v="194"/>
    <x v="0"/>
    <x v="2"/>
  </r>
  <r>
    <n v="44"/>
    <x v="43"/>
    <x v="13"/>
    <x v="43"/>
    <n v="195"/>
    <x v="1"/>
    <x v="3"/>
  </r>
  <r>
    <n v="45"/>
    <x v="44"/>
    <x v="14"/>
    <x v="44"/>
    <n v="196"/>
    <x v="2"/>
    <x v="4"/>
  </r>
  <r>
    <n v="46"/>
    <x v="0"/>
    <x v="0"/>
    <x v="45"/>
    <n v="197"/>
    <x v="0"/>
    <x v="5"/>
  </r>
  <r>
    <n v="47"/>
    <x v="1"/>
    <x v="1"/>
    <x v="46"/>
    <n v="198"/>
    <x v="1"/>
    <x v="6"/>
  </r>
  <r>
    <n v="48"/>
    <x v="2"/>
    <x v="2"/>
    <x v="47"/>
    <n v="199"/>
    <x v="2"/>
    <x v="7"/>
  </r>
  <r>
    <n v="49"/>
    <x v="3"/>
    <x v="3"/>
    <x v="48"/>
    <n v="200"/>
    <x v="0"/>
    <x v="8"/>
  </r>
  <r>
    <n v="50"/>
    <x v="4"/>
    <x v="4"/>
    <x v="49"/>
    <n v="201"/>
    <x v="1"/>
    <x v="9"/>
  </r>
  <r>
    <n v="51"/>
    <x v="5"/>
    <x v="5"/>
    <x v="0"/>
    <n v="202"/>
    <x v="2"/>
    <x v="10"/>
  </r>
  <r>
    <n v="52"/>
    <x v="6"/>
    <x v="6"/>
    <x v="1"/>
    <n v="203"/>
    <x v="0"/>
    <x v="11"/>
  </r>
  <r>
    <n v="53"/>
    <x v="7"/>
    <x v="7"/>
    <x v="2"/>
    <n v="204"/>
    <x v="1"/>
    <x v="12"/>
  </r>
  <r>
    <n v="54"/>
    <x v="8"/>
    <x v="8"/>
    <x v="3"/>
    <n v="205"/>
    <x v="2"/>
    <x v="13"/>
  </r>
  <r>
    <n v="55"/>
    <x v="9"/>
    <x v="9"/>
    <x v="4"/>
    <n v="206"/>
    <x v="0"/>
    <x v="14"/>
  </r>
  <r>
    <n v="56"/>
    <x v="10"/>
    <x v="10"/>
    <x v="5"/>
    <n v="207"/>
    <x v="1"/>
    <x v="15"/>
  </r>
  <r>
    <n v="57"/>
    <x v="11"/>
    <x v="11"/>
    <x v="6"/>
    <n v="208"/>
    <x v="2"/>
    <x v="16"/>
  </r>
  <r>
    <n v="58"/>
    <x v="12"/>
    <x v="12"/>
    <x v="7"/>
    <n v="209"/>
    <x v="0"/>
    <x v="17"/>
  </r>
  <r>
    <n v="59"/>
    <x v="13"/>
    <x v="13"/>
    <x v="8"/>
    <n v="210"/>
    <x v="1"/>
    <x v="18"/>
  </r>
  <r>
    <n v="60"/>
    <x v="14"/>
    <x v="14"/>
    <x v="9"/>
    <n v="211"/>
    <x v="2"/>
    <x v="19"/>
  </r>
  <r>
    <n v="61"/>
    <x v="15"/>
    <x v="0"/>
    <x v="10"/>
    <n v="212"/>
    <x v="0"/>
    <x v="20"/>
  </r>
  <r>
    <n v="62"/>
    <x v="16"/>
    <x v="1"/>
    <x v="11"/>
    <n v="213"/>
    <x v="1"/>
    <x v="21"/>
  </r>
  <r>
    <n v="63"/>
    <x v="17"/>
    <x v="2"/>
    <x v="12"/>
    <n v="214"/>
    <x v="2"/>
    <x v="22"/>
  </r>
  <r>
    <n v="64"/>
    <x v="18"/>
    <x v="3"/>
    <x v="13"/>
    <n v="215"/>
    <x v="0"/>
    <x v="23"/>
  </r>
  <r>
    <n v="65"/>
    <x v="19"/>
    <x v="4"/>
    <x v="14"/>
    <n v="216"/>
    <x v="1"/>
    <x v="24"/>
  </r>
  <r>
    <n v="66"/>
    <x v="20"/>
    <x v="5"/>
    <x v="15"/>
    <n v="217"/>
    <x v="2"/>
    <x v="25"/>
  </r>
  <r>
    <n v="67"/>
    <x v="21"/>
    <x v="6"/>
    <x v="16"/>
    <n v="218"/>
    <x v="0"/>
    <x v="26"/>
  </r>
  <r>
    <n v="68"/>
    <x v="22"/>
    <x v="7"/>
    <x v="17"/>
    <n v="219"/>
    <x v="1"/>
    <x v="27"/>
  </r>
  <r>
    <n v="69"/>
    <x v="23"/>
    <x v="8"/>
    <x v="18"/>
    <n v="220"/>
    <x v="2"/>
    <x v="28"/>
  </r>
  <r>
    <n v="70"/>
    <x v="24"/>
    <x v="9"/>
    <x v="19"/>
    <n v="221"/>
    <x v="0"/>
    <x v="29"/>
  </r>
  <r>
    <n v="71"/>
    <x v="25"/>
    <x v="10"/>
    <x v="20"/>
    <n v="222"/>
    <x v="1"/>
    <x v="30"/>
  </r>
  <r>
    <n v="72"/>
    <x v="26"/>
    <x v="11"/>
    <x v="21"/>
    <n v="223"/>
    <x v="2"/>
    <x v="31"/>
  </r>
  <r>
    <n v="73"/>
    <x v="27"/>
    <x v="12"/>
    <x v="22"/>
    <n v="224"/>
    <x v="0"/>
    <x v="32"/>
  </r>
  <r>
    <n v="74"/>
    <x v="28"/>
    <x v="13"/>
    <x v="23"/>
    <n v="225"/>
    <x v="1"/>
    <x v="33"/>
  </r>
  <r>
    <n v="75"/>
    <x v="29"/>
    <x v="14"/>
    <x v="24"/>
    <n v="226"/>
    <x v="2"/>
    <x v="34"/>
  </r>
  <r>
    <n v="76"/>
    <x v="30"/>
    <x v="0"/>
    <x v="25"/>
    <n v="227"/>
    <x v="0"/>
    <x v="35"/>
  </r>
  <r>
    <n v="77"/>
    <x v="31"/>
    <x v="1"/>
    <x v="26"/>
    <n v="228"/>
    <x v="1"/>
    <x v="36"/>
  </r>
  <r>
    <n v="78"/>
    <x v="32"/>
    <x v="2"/>
    <x v="27"/>
    <n v="229"/>
    <x v="2"/>
    <x v="37"/>
  </r>
  <r>
    <n v="79"/>
    <x v="33"/>
    <x v="3"/>
    <x v="28"/>
    <n v="150"/>
    <x v="0"/>
    <x v="38"/>
  </r>
  <r>
    <n v="80"/>
    <x v="34"/>
    <x v="4"/>
    <x v="29"/>
    <n v="151"/>
    <x v="1"/>
    <x v="39"/>
  </r>
  <r>
    <n v="81"/>
    <x v="35"/>
    <x v="5"/>
    <x v="30"/>
    <n v="152"/>
    <x v="2"/>
    <x v="0"/>
  </r>
  <r>
    <n v="82"/>
    <x v="36"/>
    <x v="6"/>
    <x v="31"/>
    <n v="153"/>
    <x v="0"/>
    <x v="1"/>
  </r>
  <r>
    <n v="83"/>
    <x v="37"/>
    <x v="7"/>
    <x v="32"/>
    <n v="154"/>
    <x v="1"/>
    <x v="2"/>
  </r>
  <r>
    <n v="84"/>
    <x v="38"/>
    <x v="8"/>
    <x v="33"/>
    <n v="155"/>
    <x v="2"/>
    <x v="3"/>
  </r>
  <r>
    <n v="85"/>
    <x v="39"/>
    <x v="9"/>
    <x v="34"/>
    <n v="156"/>
    <x v="0"/>
    <x v="4"/>
  </r>
  <r>
    <n v="86"/>
    <x v="40"/>
    <x v="10"/>
    <x v="35"/>
    <n v="157"/>
    <x v="1"/>
    <x v="5"/>
  </r>
  <r>
    <n v="87"/>
    <x v="41"/>
    <x v="11"/>
    <x v="36"/>
    <n v="158"/>
    <x v="2"/>
    <x v="6"/>
  </r>
  <r>
    <n v="88"/>
    <x v="42"/>
    <x v="12"/>
    <x v="37"/>
    <n v="159"/>
    <x v="0"/>
    <x v="7"/>
  </r>
  <r>
    <n v="89"/>
    <x v="43"/>
    <x v="13"/>
    <x v="38"/>
    <n v="160"/>
    <x v="1"/>
    <x v="8"/>
  </r>
  <r>
    <n v="90"/>
    <x v="44"/>
    <x v="14"/>
    <x v="39"/>
    <n v="161"/>
    <x v="2"/>
    <x v="9"/>
  </r>
  <r>
    <n v="91"/>
    <x v="0"/>
    <x v="0"/>
    <x v="40"/>
    <n v="162"/>
    <x v="0"/>
    <x v="10"/>
  </r>
  <r>
    <n v="92"/>
    <x v="1"/>
    <x v="1"/>
    <x v="41"/>
    <n v="163"/>
    <x v="1"/>
    <x v="11"/>
  </r>
  <r>
    <n v="93"/>
    <x v="2"/>
    <x v="2"/>
    <x v="42"/>
    <n v="164"/>
    <x v="2"/>
    <x v="12"/>
  </r>
  <r>
    <n v="94"/>
    <x v="3"/>
    <x v="3"/>
    <x v="43"/>
    <n v="165"/>
    <x v="0"/>
    <x v="13"/>
  </r>
  <r>
    <n v="95"/>
    <x v="4"/>
    <x v="4"/>
    <x v="44"/>
    <n v="166"/>
    <x v="1"/>
    <x v="14"/>
  </r>
  <r>
    <n v="96"/>
    <x v="5"/>
    <x v="5"/>
    <x v="45"/>
    <n v="167"/>
    <x v="2"/>
    <x v="15"/>
  </r>
  <r>
    <n v="97"/>
    <x v="6"/>
    <x v="6"/>
    <x v="46"/>
    <n v="168"/>
    <x v="0"/>
    <x v="16"/>
  </r>
  <r>
    <n v="98"/>
    <x v="7"/>
    <x v="7"/>
    <x v="47"/>
    <n v="169"/>
    <x v="1"/>
    <x v="17"/>
  </r>
  <r>
    <n v="99"/>
    <x v="8"/>
    <x v="8"/>
    <x v="48"/>
    <n v="170"/>
    <x v="2"/>
    <x v="18"/>
  </r>
  <r>
    <n v="100"/>
    <x v="9"/>
    <x v="9"/>
    <x v="49"/>
    <n v="171"/>
    <x v="0"/>
    <x v="19"/>
  </r>
  <r>
    <n v="101"/>
    <x v="10"/>
    <x v="10"/>
    <x v="0"/>
    <n v="172"/>
    <x v="1"/>
    <x v="20"/>
  </r>
  <r>
    <n v="102"/>
    <x v="11"/>
    <x v="11"/>
    <x v="1"/>
    <n v="173"/>
    <x v="2"/>
    <x v="21"/>
  </r>
  <r>
    <n v="103"/>
    <x v="12"/>
    <x v="12"/>
    <x v="2"/>
    <n v="174"/>
    <x v="0"/>
    <x v="22"/>
  </r>
  <r>
    <n v="104"/>
    <x v="13"/>
    <x v="13"/>
    <x v="3"/>
    <n v="175"/>
    <x v="1"/>
    <x v="23"/>
  </r>
  <r>
    <n v="105"/>
    <x v="14"/>
    <x v="14"/>
    <x v="4"/>
    <n v="176"/>
    <x v="2"/>
    <x v="24"/>
  </r>
  <r>
    <n v="106"/>
    <x v="15"/>
    <x v="0"/>
    <x v="5"/>
    <n v="177"/>
    <x v="0"/>
    <x v="25"/>
  </r>
  <r>
    <n v="107"/>
    <x v="16"/>
    <x v="1"/>
    <x v="6"/>
    <n v="178"/>
    <x v="1"/>
    <x v="26"/>
  </r>
  <r>
    <n v="108"/>
    <x v="17"/>
    <x v="2"/>
    <x v="7"/>
    <n v="179"/>
    <x v="2"/>
    <x v="27"/>
  </r>
  <r>
    <n v="109"/>
    <x v="18"/>
    <x v="3"/>
    <x v="8"/>
    <n v="180"/>
    <x v="0"/>
    <x v="28"/>
  </r>
  <r>
    <n v="110"/>
    <x v="19"/>
    <x v="4"/>
    <x v="9"/>
    <n v="181"/>
    <x v="1"/>
    <x v="29"/>
  </r>
  <r>
    <n v="111"/>
    <x v="20"/>
    <x v="5"/>
    <x v="10"/>
    <n v="182"/>
    <x v="2"/>
    <x v="30"/>
  </r>
  <r>
    <n v="112"/>
    <x v="21"/>
    <x v="6"/>
    <x v="11"/>
    <n v="183"/>
    <x v="0"/>
    <x v="31"/>
  </r>
  <r>
    <n v="113"/>
    <x v="22"/>
    <x v="7"/>
    <x v="12"/>
    <n v="184"/>
    <x v="1"/>
    <x v="32"/>
  </r>
  <r>
    <n v="114"/>
    <x v="23"/>
    <x v="8"/>
    <x v="13"/>
    <n v="185"/>
    <x v="2"/>
    <x v="33"/>
  </r>
  <r>
    <n v="115"/>
    <x v="24"/>
    <x v="9"/>
    <x v="14"/>
    <n v="186"/>
    <x v="0"/>
    <x v="34"/>
  </r>
  <r>
    <n v="116"/>
    <x v="25"/>
    <x v="10"/>
    <x v="15"/>
    <n v="187"/>
    <x v="1"/>
    <x v="35"/>
  </r>
  <r>
    <n v="117"/>
    <x v="26"/>
    <x v="11"/>
    <x v="16"/>
    <n v="188"/>
    <x v="2"/>
    <x v="36"/>
  </r>
  <r>
    <n v="118"/>
    <x v="27"/>
    <x v="12"/>
    <x v="17"/>
    <n v="189"/>
    <x v="0"/>
    <x v="37"/>
  </r>
  <r>
    <n v="119"/>
    <x v="28"/>
    <x v="13"/>
    <x v="18"/>
    <n v="190"/>
    <x v="1"/>
    <x v="38"/>
  </r>
  <r>
    <n v="120"/>
    <x v="29"/>
    <x v="14"/>
    <x v="19"/>
    <n v="191"/>
    <x v="2"/>
    <x v="39"/>
  </r>
  <r>
    <n v="121"/>
    <x v="30"/>
    <x v="0"/>
    <x v="20"/>
    <n v="192"/>
    <x v="0"/>
    <x v="0"/>
  </r>
  <r>
    <n v="122"/>
    <x v="31"/>
    <x v="1"/>
    <x v="21"/>
    <n v="193"/>
    <x v="1"/>
    <x v="1"/>
  </r>
  <r>
    <n v="123"/>
    <x v="32"/>
    <x v="2"/>
    <x v="22"/>
    <n v="194"/>
    <x v="2"/>
    <x v="2"/>
  </r>
  <r>
    <n v="124"/>
    <x v="33"/>
    <x v="3"/>
    <x v="23"/>
    <n v="195"/>
    <x v="0"/>
    <x v="3"/>
  </r>
  <r>
    <n v="125"/>
    <x v="34"/>
    <x v="4"/>
    <x v="24"/>
    <n v="196"/>
    <x v="1"/>
    <x v="4"/>
  </r>
  <r>
    <n v="126"/>
    <x v="35"/>
    <x v="5"/>
    <x v="25"/>
    <n v="197"/>
    <x v="2"/>
    <x v="5"/>
  </r>
  <r>
    <n v="127"/>
    <x v="36"/>
    <x v="6"/>
    <x v="26"/>
    <n v="198"/>
    <x v="0"/>
    <x v="6"/>
  </r>
  <r>
    <n v="128"/>
    <x v="37"/>
    <x v="7"/>
    <x v="27"/>
    <n v="199"/>
    <x v="1"/>
    <x v="7"/>
  </r>
  <r>
    <n v="129"/>
    <x v="38"/>
    <x v="8"/>
    <x v="28"/>
    <n v="200"/>
    <x v="2"/>
    <x v="8"/>
  </r>
  <r>
    <n v="130"/>
    <x v="39"/>
    <x v="9"/>
    <x v="29"/>
    <n v="201"/>
    <x v="0"/>
    <x v="9"/>
  </r>
  <r>
    <n v="131"/>
    <x v="40"/>
    <x v="10"/>
    <x v="30"/>
    <n v="202"/>
    <x v="1"/>
    <x v="10"/>
  </r>
  <r>
    <n v="132"/>
    <x v="41"/>
    <x v="11"/>
    <x v="31"/>
    <n v="203"/>
    <x v="2"/>
    <x v="11"/>
  </r>
  <r>
    <n v="133"/>
    <x v="42"/>
    <x v="12"/>
    <x v="32"/>
    <n v="204"/>
    <x v="0"/>
    <x v="12"/>
  </r>
  <r>
    <n v="134"/>
    <x v="43"/>
    <x v="13"/>
    <x v="33"/>
    <n v="205"/>
    <x v="1"/>
    <x v="13"/>
  </r>
  <r>
    <n v="135"/>
    <x v="44"/>
    <x v="14"/>
    <x v="34"/>
    <n v="206"/>
    <x v="2"/>
    <x v="14"/>
  </r>
  <r>
    <n v="136"/>
    <x v="0"/>
    <x v="0"/>
    <x v="35"/>
    <n v="207"/>
    <x v="0"/>
    <x v="15"/>
  </r>
  <r>
    <n v="137"/>
    <x v="1"/>
    <x v="1"/>
    <x v="36"/>
    <n v="208"/>
    <x v="1"/>
    <x v="16"/>
  </r>
  <r>
    <n v="138"/>
    <x v="2"/>
    <x v="2"/>
    <x v="37"/>
    <n v="209"/>
    <x v="2"/>
    <x v="17"/>
  </r>
  <r>
    <n v="139"/>
    <x v="3"/>
    <x v="3"/>
    <x v="38"/>
    <n v="210"/>
    <x v="0"/>
    <x v="18"/>
  </r>
  <r>
    <n v="140"/>
    <x v="4"/>
    <x v="4"/>
    <x v="39"/>
    <n v="211"/>
    <x v="1"/>
    <x v="19"/>
  </r>
  <r>
    <n v="141"/>
    <x v="5"/>
    <x v="5"/>
    <x v="40"/>
    <n v="212"/>
    <x v="2"/>
    <x v="20"/>
  </r>
  <r>
    <n v="142"/>
    <x v="6"/>
    <x v="6"/>
    <x v="41"/>
    <n v="213"/>
    <x v="0"/>
    <x v="21"/>
  </r>
  <r>
    <n v="143"/>
    <x v="7"/>
    <x v="7"/>
    <x v="42"/>
    <n v="214"/>
    <x v="1"/>
    <x v="22"/>
  </r>
  <r>
    <n v="144"/>
    <x v="8"/>
    <x v="8"/>
    <x v="43"/>
    <n v="215"/>
    <x v="2"/>
    <x v="23"/>
  </r>
  <r>
    <n v="145"/>
    <x v="9"/>
    <x v="9"/>
    <x v="44"/>
    <n v="216"/>
    <x v="0"/>
    <x v="24"/>
  </r>
  <r>
    <n v="146"/>
    <x v="10"/>
    <x v="10"/>
    <x v="45"/>
    <n v="217"/>
    <x v="1"/>
    <x v="25"/>
  </r>
  <r>
    <n v="147"/>
    <x v="11"/>
    <x v="11"/>
    <x v="46"/>
    <n v="218"/>
    <x v="2"/>
    <x v="26"/>
  </r>
  <r>
    <n v="148"/>
    <x v="12"/>
    <x v="12"/>
    <x v="47"/>
    <n v="219"/>
    <x v="0"/>
    <x v="27"/>
  </r>
  <r>
    <n v="149"/>
    <x v="13"/>
    <x v="13"/>
    <x v="48"/>
    <n v="220"/>
    <x v="1"/>
    <x v="28"/>
  </r>
  <r>
    <n v="150"/>
    <x v="14"/>
    <x v="14"/>
    <x v="49"/>
    <n v="221"/>
    <x v="2"/>
    <x v="29"/>
  </r>
  <r>
    <n v="151"/>
    <x v="15"/>
    <x v="0"/>
    <x v="0"/>
    <n v="222"/>
    <x v="0"/>
    <x v="30"/>
  </r>
  <r>
    <n v="152"/>
    <x v="16"/>
    <x v="1"/>
    <x v="1"/>
    <n v="223"/>
    <x v="1"/>
    <x v="31"/>
  </r>
  <r>
    <n v="153"/>
    <x v="17"/>
    <x v="2"/>
    <x v="2"/>
    <n v="224"/>
    <x v="2"/>
    <x v="32"/>
  </r>
  <r>
    <n v="154"/>
    <x v="18"/>
    <x v="3"/>
    <x v="3"/>
    <n v="225"/>
    <x v="0"/>
    <x v="33"/>
  </r>
  <r>
    <n v="155"/>
    <x v="19"/>
    <x v="4"/>
    <x v="4"/>
    <n v="226"/>
    <x v="1"/>
    <x v="34"/>
  </r>
  <r>
    <n v="156"/>
    <x v="20"/>
    <x v="5"/>
    <x v="5"/>
    <n v="227"/>
    <x v="2"/>
    <x v="35"/>
  </r>
  <r>
    <n v="157"/>
    <x v="21"/>
    <x v="6"/>
    <x v="6"/>
    <n v="228"/>
    <x v="0"/>
    <x v="36"/>
  </r>
  <r>
    <n v="158"/>
    <x v="22"/>
    <x v="7"/>
    <x v="7"/>
    <n v="229"/>
    <x v="1"/>
    <x v="37"/>
  </r>
  <r>
    <n v="159"/>
    <x v="23"/>
    <x v="8"/>
    <x v="8"/>
    <n v="150"/>
    <x v="2"/>
    <x v="38"/>
  </r>
  <r>
    <n v="160"/>
    <x v="24"/>
    <x v="9"/>
    <x v="9"/>
    <n v="151"/>
    <x v="0"/>
    <x v="39"/>
  </r>
  <r>
    <n v="161"/>
    <x v="25"/>
    <x v="10"/>
    <x v="10"/>
    <n v="152"/>
    <x v="1"/>
    <x v="0"/>
  </r>
  <r>
    <n v="162"/>
    <x v="26"/>
    <x v="11"/>
    <x v="11"/>
    <n v="153"/>
    <x v="2"/>
    <x v="1"/>
  </r>
  <r>
    <n v="163"/>
    <x v="27"/>
    <x v="12"/>
    <x v="12"/>
    <n v="154"/>
    <x v="0"/>
    <x v="2"/>
  </r>
  <r>
    <n v="164"/>
    <x v="28"/>
    <x v="13"/>
    <x v="13"/>
    <n v="155"/>
    <x v="1"/>
    <x v="3"/>
  </r>
  <r>
    <n v="165"/>
    <x v="29"/>
    <x v="14"/>
    <x v="14"/>
    <n v="156"/>
    <x v="2"/>
    <x v="4"/>
  </r>
  <r>
    <n v="166"/>
    <x v="30"/>
    <x v="0"/>
    <x v="15"/>
    <n v="157"/>
    <x v="0"/>
    <x v="5"/>
  </r>
  <r>
    <n v="167"/>
    <x v="31"/>
    <x v="1"/>
    <x v="16"/>
    <n v="158"/>
    <x v="1"/>
    <x v="6"/>
  </r>
  <r>
    <n v="168"/>
    <x v="32"/>
    <x v="2"/>
    <x v="17"/>
    <n v="159"/>
    <x v="2"/>
    <x v="7"/>
  </r>
  <r>
    <n v="169"/>
    <x v="33"/>
    <x v="3"/>
    <x v="18"/>
    <n v="160"/>
    <x v="0"/>
    <x v="8"/>
  </r>
  <r>
    <n v="170"/>
    <x v="34"/>
    <x v="4"/>
    <x v="19"/>
    <n v="161"/>
    <x v="1"/>
    <x v="9"/>
  </r>
  <r>
    <n v="171"/>
    <x v="35"/>
    <x v="5"/>
    <x v="20"/>
    <n v="162"/>
    <x v="2"/>
    <x v="10"/>
  </r>
  <r>
    <n v="172"/>
    <x v="36"/>
    <x v="6"/>
    <x v="21"/>
    <n v="163"/>
    <x v="0"/>
    <x v="11"/>
  </r>
  <r>
    <n v="173"/>
    <x v="37"/>
    <x v="7"/>
    <x v="22"/>
    <n v="164"/>
    <x v="1"/>
    <x v="12"/>
  </r>
  <r>
    <n v="174"/>
    <x v="38"/>
    <x v="8"/>
    <x v="23"/>
    <n v="165"/>
    <x v="2"/>
    <x v="13"/>
  </r>
  <r>
    <n v="175"/>
    <x v="39"/>
    <x v="9"/>
    <x v="24"/>
    <n v="166"/>
    <x v="0"/>
    <x v="14"/>
  </r>
  <r>
    <n v="176"/>
    <x v="40"/>
    <x v="10"/>
    <x v="25"/>
    <n v="167"/>
    <x v="1"/>
    <x v="15"/>
  </r>
  <r>
    <n v="177"/>
    <x v="41"/>
    <x v="11"/>
    <x v="26"/>
    <n v="168"/>
    <x v="2"/>
    <x v="16"/>
  </r>
  <r>
    <n v="178"/>
    <x v="42"/>
    <x v="12"/>
    <x v="27"/>
    <n v="169"/>
    <x v="0"/>
    <x v="17"/>
  </r>
  <r>
    <n v="179"/>
    <x v="43"/>
    <x v="13"/>
    <x v="28"/>
    <n v="170"/>
    <x v="1"/>
    <x v="18"/>
  </r>
  <r>
    <n v="180"/>
    <x v="44"/>
    <x v="14"/>
    <x v="29"/>
    <n v="171"/>
    <x v="2"/>
    <x v="19"/>
  </r>
  <r>
    <n v="181"/>
    <x v="0"/>
    <x v="0"/>
    <x v="30"/>
    <n v="172"/>
    <x v="0"/>
    <x v="20"/>
  </r>
  <r>
    <n v="182"/>
    <x v="1"/>
    <x v="1"/>
    <x v="31"/>
    <n v="173"/>
    <x v="1"/>
    <x v="21"/>
  </r>
  <r>
    <n v="183"/>
    <x v="2"/>
    <x v="2"/>
    <x v="32"/>
    <n v="174"/>
    <x v="2"/>
    <x v="22"/>
  </r>
  <r>
    <n v="184"/>
    <x v="3"/>
    <x v="3"/>
    <x v="33"/>
    <n v="175"/>
    <x v="0"/>
    <x v="23"/>
  </r>
  <r>
    <n v="185"/>
    <x v="4"/>
    <x v="4"/>
    <x v="34"/>
    <n v="176"/>
    <x v="1"/>
    <x v="24"/>
  </r>
  <r>
    <n v="186"/>
    <x v="5"/>
    <x v="5"/>
    <x v="35"/>
    <n v="177"/>
    <x v="2"/>
    <x v="25"/>
  </r>
  <r>
    <n v="187"/>
    <x v="6"/>
    <x v="6"/>
    <x v="36"/>
    <n v="178"/>
    <x v="0"/>
    <x v="26"/>
  </r>
  <r>
    <n v="188"/>
    <x v="7"/>
    <x v="7"/>
    <x v="37"/>
    <n v="179"/>
    <x v="1"/>
    <x v="27"/>
  </r>
  <r>
    <n v="189"/>
    <x v="8"/>
    <x v="8"/>
    <x v="38"/>
    <n v="180"/>
    <x v="2"/>
    <x v="28"/>
  </r>
  <r>
    <n v="190"/>
    <x v="9"/>
    <x v="9"/>
    <x v="39"/>
    <n v="181"/>
    <x v="0"/>
    <x v="29"/>
  </r>
  <r>
    <n v="191"/>
    <x v="10"/>
    <x v="10"/>
    <x v="40"/>
    <n v="182"/>
    <x v="1"/>
    <x v="30"/>
  </r>
  <r>
    <n v="192"/>
    <x v="11"/>
    <x v="11"/>
    <x v="41"/>
    <n v="183"/>
    <x v="2"/>
    <x v="31"/>
  </r>
  <r>
    <n v="193"/>
    <x v="12"/>
    <x v="12"/>
    <x v="42"/>
    <n v="184"/>
    <x v="0"/>
    <x v="32"/>
  </r>
  <r>
    <n v="194"/>
    <x v="13"/>
    <x v="13"/>
    <x v="43"/>
    <n v="185"/>
    <x v="1"/>
    <x v="33"/>
  </r>
  <r>
    <n v="195"/>
    <x v="14"/>
    <x v="14"/>
    <x v="44"/>
    <n v="186"/>
    <x v="2"/>
    <x v="34"/>
  </r>
  <r>
    <n v="196"/>
    <x v="15"/>
    <x v="0"/>
    <x v="45"/>
    <n v="187"/>
    <x v="0"/>
    <x v="35"/>
  </r>
  <r>
    <n v="197"/>
    <x v="16"/>
    <x v="1"/>
    <x v="46"/>
    <n v="188"/>
    <x v="1"/>
    <x v="36"/>
  </r>
  <r>
    <n v="198"/>
    <x v="17"/>
    <x v="2"/>
    <x v="47"/>
    <n v="189"/>
    <x v="2"/>
    <x v="37"/>
  </r>
  <r>
    <n v="199"/>
    <x v="18"/>
    <x v="3"/>
    <x v="48"/>
    <n v="190"/>
    <x v="0"/>
    <x v="38"/>
  </r>
  <r>
    <n v="200"/>
    <x v="19"/>
    <x v="4"/>
    <x v="49"/>
    <n v="191"/>
    <x v="1"/>
    <x v="3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4"/>
    <x v="0"/>
    <n v="102"/>
    <n v="152"/>
    <x v="0"/>
    <n v="52"/>
  </r>
  <r>
    <n v="2"/>
    <n v="23"/>
    <x v="1"/>
    <n v="103"/>
    <n v="153"/>
    <x v="1"/>
    <n v="53"/>
  </r>
  <r>
    <n v="3"/>
    <n v="24"/>
    <x v="2"/>
    <n v="104"/>
    <n v="154"/>
    <x v="2"/>
    <n v="54"/>
  </r>
  <r>
    <n v="4"/>
    <n v="25"/>
    <x v="3"/>
    <n v="105"/>
    <n v="155"/>
    <x v="0"/>
    <n v="55"/>
  </r>
  <r>
    <n v="5"/>
    <n v="26"/>
    <x v="4"/>
    <n v="106"/>
    <n v="156"/>
    <x v="1"/>
    <n v="56"/>
  </r>
  <r>
    <n v="6"/>
    <n v="27"/>
    <x v="5"/>
    <n v="107"/>
    <n v="157"/>
    <x v="2"/>
    <n v="57"/>
  </r>
  <r>
    <n v="7"/>
    <n v="28"/>
    <x v="6"/>
    <n v="108"/>
    <n v="158"/>
    <x v="0"/>
    <n v="58"/>
  </r>
  <r>
    <n v="8"/>
    <n v="29"/>
    <x v="7"/>
    <n v="109"/>
    <n v="159"/>
    <x v="1"/>
    <n v="59"/>
  </r>
  <r>
    <n v="9"/>
    <n v="30"/>
    <x v="8"/>
    <n v="110"/>
    <n v="160"/>
    <x v="2"/>
    <n v="60"/>
  </r>
  <r>
    <n v="10"/>
    <n v="31"/>
    <x v="9"/>
    <n v="111"/>
    <n v="161"/>
    <x v="0"/>
    <n v="61"/>
  </r>
  <r>
    <n v="11"/>
    <n v="32"/>
    <x v="10"/>
    <n v="112"/>
    <n v="162"/>
    <x v="1"/>
    <n v="62"/>
  </r>
  <r>
    <n v="12"/>
    <n v="33"/>
    <x v="11"/>
    <n v="113"/>
    <n v="163"/>
    <x v="2"/>
    <n v="63"/>
  </r>
  <r>
    <n v="13"/>
    <n v="34"/>
    <x v="12"/>
    <n v="114"/>
    <n v="164"/>
    <x v="0"/>
    <n v="64"/>
  </r>
  <r>
    <n v="14"/>
    <n v="35"/>
    <x v="13"/>
    <n v="115"/>
    <n v="165"/>
    <x v="1"/>
    <n v="65"/>
  </r>
  <r>
    <n v="15"/>
    <n v="36"/>
    <x v="14"/>
    <n v="116"/>
    <n v="166"/>
    <x v="2"/>
    <n v="66"/>
  </r>
  <r>
    <n v="16"/>
    <n v="37"/>
    <x v="0"/>
    <n v="117"/>
    <n v="167"/>
    <x v="0"/>
    <n v="67"/>
  </r>
  <r>
    <n v="17"/>
    <n v="38"/>
    <x v="1"/>
    <n v="118"/>
    <n v="168"/>
    <x v="1"/>
    <n v="68"/>
  </r>
  <r>
    <n v="18"/>
    <n v="39"/>
    <x v="2"/>
    <n v="119"/>
    <n v="169"/>
    <x v="2"/>
    <n v="69"/>
  </r>
  <r>
    <n v="19"/>
    <n v="40"/>
    <x v="3"/>
    <n v="120"/>
    <n v="170"/>
    <x v="0"/>
    <n v="70"/>
  </r>
  <r>
    <n v="20"/>
    <n v="41"/>
    <x v="4"/>
    <n v="121"/>
    <n v="171"/>
    <x v="1"/>
    <n v="71"/>
  </r>
  <r>
    <n v="21"/>
    <n v="42"/>
    <x v="5"/>
    <n v="122"/>
    <n v="172"/>
    <x v="2"/>
    <n v="72"/>
  </r>
  <r>
    <n v="22"/>
    <n v="43"/>
    <x v="6"/>
    <n v="123"/>
    <n v="173"/>
    <x v="0"/>
    <n v="73"/>
  </r>
  <r>
    <n v="23"/>
    <n v="44"/>
    <x v="7"/>
    <n v="124"/>
    <n v="174"/>
    <x v="1"/>
    <n v="74"/>
  </r>
  <r>
    <n v="24"/>
    <n v="45"/>
    <x v="8"/>
    <n v="125"/>
    <n v="175"/>
    <x v="2"/>
    <n v="75"/>
  </r>
  <r>
    <n v="25"/>
    <n v="46"/>
    <x v="9"/>
    <n v="126"/>
    <n v="176"/>
    <x v="0"/>
    <n v="76"/>
  </r>
  <r>
    <n v="26"/>
    <n v="47"/>
    <x v="10"/>
    <n v="127"/>
    <n v="177"/>
    <x v="1"/>
    <n v="77"/>
  </r>
  <r>
    <n v="27"/>
    <n v="48"/>
    <x v="11"/>
    <n v="128"/>
    <n v="178"/>
    <x v="2"/>
    <n v="78"/>
  </r>
  <r>
    <n v="28"/>
    <n v="49"/>
    <x v="12"/>
    <n v="129"/>
    <n v="179"/>
    <x v="0"/>
    <n v="79"/>
  </r>
  <r>
    <n v="29"/>
    <n v="50"/>
    <x v="13"/>
    <n v="130"/>
    <n v="180"/>
    <x v="1"/>
    <n v="80"/>
  </r>
  <r>
    <n v="30"/>
    <n v="51"/>
    <x v="14"/>
    <n v="131"/>
    <n v="181"/>
    <x v="2"/>
    <n v="81"/>
  </r>
  <r>
    <n v="31"/>
    <n v="52"/>
    <x v="0"/>
    <n v="132"/>
    <n v="182"/>
    <x v="0"/>
    <n v="82"/>
  </r>
  <r>
    <n v="32"/>
    <n v="53"/>
    <x v="1"/>
    <n v="133"/>
    <n v="183"/>
    <x v="1"/>
    <n v="83"/>
  </r>
  <r>
    <n v="33"/>
    <n v="54"/>
    <x v="2"/>
    <n v="134"/>
    <n v="184"/>
    <x v="2"/>
    <n v="84"/>
  </r>
  <r>
    <n v="34"/>
    <n v="55"/>
    <x v="3"/>
    <n v="135"/>
    <n v="185"/>
    <x v="0"/>
    <n v="85"/>
  </r>
  <r>
    <n v="35"/>
    <n v="56"/>
    <x v="4"/>
    <n v="136"/>
    <n v="186"/>
    <x v="1"/>
    <n v="86"/>
  </r>
  <r>
    <n v="36"/>
    <n v="57"/>
    <x v="5"/>
    <n v="137"/>
    <n v="187"/>
    <x v="2"/>
    <n v="87"/>
  </r>
  <r>
    <n v="37"/>
    <n v="58"/>
    <x v="6"/>
    <n v="138"/>
    <n v="188"/>
    <x v="0"/>
    <n v="88"/>
  </r>
  <r>
    <n v="38"/>
    <n v="59"/>
    <x v="7"/>
    <n v="139"/>
    <n v="189"/>
    <x v="1"/>
    <n v="89"/>
  </r>
  <r>
    <n v="39"/>
    <n v="60"/>
    <x v="8"/>
    <n v="140"/>
    <n v="190"/>
    <x v="2"/>
    <n v="50"/>
  </r>
  <r>
    <n v="40"/>
    <n v="61"/>
    <x v="9"/>
    <n v="141"/>
    <n v="191"/>
    <x v="0"/>
    <n v="51"/>
  </r>
  <r>
    <n v="41"/>
    <n v="62"/>
    <x v="10"/>
    <n v="142"/>
    <n v="192"/>
    <x v="1"/>
    <n v="52"/>
  </r>
  <r>
    <n v="42"/>
    <n v="63"/>
    <x v="11"/>
    <n v="143"/>
    <n v="193"/>
    <x v="2"/>
    <n v="53"/>
  </r>
  <r>
    <n v="43"/>
    <n v="64"/>
    <x v="12"/>
    <n v="144"/>
    <n v="194"/>
    <x v="0"/>
    <n v="54"/>
  </r>
  <r>
    <n v="44"/>
    <n v="20"/>
    <x v="13"/>
    <n v="145"/>
    <n v="195"/>
    <x v="1"/>
    <n v="55"/>
  </r>
  <r>
    <n v="45"/>
    <n v="21"/>
    <x v="14"/>
    <n v="146"/>
    <n v="196"/>
    <x v="2"/>
    <n v="56"/>
  </r>
  <r>
    <n v="46"/>
    <n v="22"/>
    <x v="0"/>
    <n v="147"/>
    <n v="197"/>
    <x v="0"/>
    <n v="57"/>
  </r>
  <r>
    <n v="47"/>
    <n v="23"/>
    <x v="1"/>
    <n v="148"/>
    <n v="198"/>
    <x v="1"/>
    <n v="58"/>
  </r>
  <r>
    <n v="48"/>
    <n v="24"/>
    <x v="2"/>
    <n v="149"/>
    <n v="199"/>
    <x v="2"/>
    <n v="59"/>
  </r>
  <r>
    <n v="49"/>
    <n v="25"/>
    <x v="3"/>
    <n v="100"/>
    <n v="200"/>
    <x v="0"/>
    <n v="60"/>
  </r>
  <r>
    <n v="50"/>
    <n v="26"/>
    <x v="4"/>
    <n v="101"/>
    <n v="201"/>
    <x v="1"/>
    <n v="61"/>
  </r>
  <r>
    <n v="51"/>
    <n v="27"/>
    <x v="5"/>
    <n v="102"/>
    <n v="202"/>
    <x v="2"/>
    <n v="62"/>
  </r>
  <r>
    <n v="52"/>
    <n v="28"/>
    <x v="6"/>
    <n v="103"/>
    <n v="203"/>
    <x v="0"/>
    <n v="63"/>
  </r>
  <r>
    <n v="53"/>
    <n v="29"/>
    <x v="7"/>
    <n v="104"/>
    <n v="204"/>
    <x v="1"/>
    <n v="64"/>
  </r>
  <r>
    <n v="54"/>
    <n v="30"/>
    <x v="8"/>
    <n v="105"/>
    <n v="205"/>
    <x v="2"/>
    <n v="65"/>
  </r>
  <r>
    <n v="55"/>
    <n v="31"/>
    <x v="9"/>
    <n v="106"/>
    <n v="206"/>
    <x v="0"/>
    <n v="66"/>
  </r>
  <r>
    <n v="56"/>
    <n v="32"/>
    <x v="10"/>
    <n v="107"/>
    <n v="207"/>
    <x v="1"/>
    <n v="67"/>
  </r>
  <r>
    <n v="57"/>
    <n v="33"/>
    <x v="11"/>
    <n v="108"/>
    <n v="208"/>
    <x v="2"/>
    <n v="68"/>
  </r>
  <r>
    <n v="58"/>
    <n v="34"/>
    <x v="12"/>
    <n v="109"/>
    <n v="209"/>
    <x v="0"/>
    <n v="69"/>
  </r>
  <r>
    <n v="59"/>
    <n v="35"/>
    <x v="13"/>
    <n v="110"/>
    <n v="210"/>
    <x v="1"/>
    <n v="70"/>
  </r>
  <r>
    <n v="60"/>
    <n v="36"/>
    <x v="14"/>
    <n v="111"/>
    <n v="211"/>
    <x v="2"/>
    <n v="71"/>
  </r>
  <r>
    <n v="61"/>
    <n v="37"/>
    <x v="0"/>
    <n v="112"/>
    <n v="212"/>
    <x v="0"/>
    <n v="72"/>
  </r>
  <r>
    <n v="62"/>
    <n v="38"/>
    <x v="1"/>
    <n v="113"/>
    <n v="213"/>
    <x v="1"/>
    <n v="73"/>
  </r>
  <r>
    <n v="63"/>
    <n v="39"/>
    <x v="2"/>
    <n v="114"/>
    <n v="214"/>
    <x v="2"/>
    <n v="74"/>
  </r>
  <r>
    <n v="64"/>
    <n v="40"/>
    <x v="3"/>
    <n v="115"/>
    <n v="215"/>
    <x v="0"/>
    <n v="75"/>
  </r>
  <r>
    <n v="65"/>
    <n v="41"/>
    <x v="4"/>
    <n v="116"/>
    <n v="216"/>
    <x v="1"/>
    <n v="76"/>
  </r>
  <r>
    <n v="66"/>
    <n v="42"/>
    <x v="5"/>
    <n v="117"/>
    <n v="217"/>
    <x v="2"/>
    <n v="77"/>
  </r>
  <r>
    <n v="67"/>
    <n v="43"/>
    <x v="6"/>
    <n v="118"/>
    <n v="218"/>
    <x v="0"/>
    <n v="78"/>
  </r>
  <r>
    <n v="68"/>
    <n v="44"/>
    <x v="7"/>
    <n v="119"/>
    <n v="219"/>
    <x v="1"/>
    <n v="79"/>
  </r>
  <r>
    <n v="69"/>
    <n v="45"/>
    <x v="8"/>
    <n v="120"/>
    <n v="220"/>
    <x v="2"/>
    <n v="80"/>
  </r>
  <r>
    <n v="70"/>
    <n v="46"/>
    <x v="9"/>
    <n v="121"/>
    <n v="221"/>
    <x v="0"/>
    <n v="81"/>
  </r>
  <r>
    <n v="71"/>
    <n v="47"/>
    <x v="10"/>
    <n v="122"/>
    <n v="222"/>
    <x v="1"/>
    <n v="82"/>
  </r>
  <r>
    <n v="72"/>
    <n v="48"/>
    <x v="11"/>
    <n v="123"/>
    <n v="223"/>
    <x v="2"/>
    <n v="83"/>
  </r>
  <r>
    <n v="73"/>
    <n v="49"/>
    <x v="12"/>
    <n v="124"/>
    <n v="224"/>
    <x v="0"/>
    <n v="84"/>
  </r>
  <r>
    <n v="74"/>
    <n v="50"/>
    <x v="13"/>
    <n v="125"/>
    <n v="225"/>
    <x v="1"/>
    <n v="85"/>
  </r>
  <r>
    <n v="75"/>
    <n v="51"/>
    <x v="14"/>
    <n v="126"/>
    <n v="226"/>
    <x v="2"/>
    <n v="86"/>
  </r>
  <r>
    <n v="76"/>
    <n v="52"/>
    <x v="0"/>
    <n v="127"/>
    <n v="227"/>
    <x v="0"/>
    <n v="87"/>
  </r>
  <r>
    <n v="77"/>
    <n v="53"/>
    <x v="1"/>
    <n v="128"/>
    <n v="228"/>
    <x v="1"/>
    <n v="88"/>
  </r>
  <r>
    <n v="78"/>
    <n v="54"/>
    <x v="2"/>
    <n v="129"/>
    <n v="229"/>
    <x v="2"/>
    <n v="89"/>
  </r>
  <r>
    <n v="79"/>
    <n v="55"/>
    <x v="3"/>
    <n v="130"/>
    <n v="150"/>
    <x v="0"/>
    <n v="50"/>
  </r>
  <r>
    <n v="80"/>
    <n v="56"/>
    <x v="4"/>
    <n v="131"/>
    <n v="151"/>
    <x v="1"/>
    <n v="51"/>
  </r>
  <r>
    <n v="81"/>
    <n v="57"/>
    <x v="5"/>
    <n v="132"/>
    <n v="152"/>
    <x v="2"/>
    <n v="52"/>
  </r>
  <r>
    <n v="82"/>
    <n v="58"/>
    <x v="6"/>
    <n v="133"/>
    <n v="153"/>
    <x v="0"/>
    <n v="53"/>
  </r>
  <r>
    <n v="83"/>
    <n v="59"/>
    <x v="7"/>
    <n v="134"/>
    <n v="154"/>
    <x v="1"/>
    <n v="54"/>
  </r>
  <r>
    <n v="84"/>
    <n v="60"/>
    <x v="8"/>
    <n v="135"/>
    <n v="155"/>
    <x v="2"/>
    <n v="55"/>
  </r>
  <r>
    <n v="85"/>
    <n v="61"/>
    <x v="9"/>
    <n v="136"/>
    <n v="156"/>
    <x v="0"/>
    <n v="56"/>
  </r>
  <r>
    <n v="86"/>
    <n v="62"/>
    <x v="10"/>
    <n v="137"/>
    <n v="157"/>
    <x v="1"/>
    <n v="57"/>
  </r>
  <r>
    <n v="87"/>
    <n v="63"/>
    <x v="11"/>
    <n v="138"/>
    <n v="158"/>
    <x v="2"/>
    <n v="58"/>
  </r>
  <r>
    <n v="88"/>
    <n v="64"/>
    <x v="12"/>
    <n v="139"/>
    <n v="159"/>
    <x v="0"/>
    <n v="59"/>
  </r>
  <r>
    <n v="89"/>
    <n v="20"/>
    <x v="13"/>
    <n v="140"/>
    <n v="160"/>
    <x v="1"/>
    <n v="60"/>
  </r>
  <r>
    <n v="90"/>
    <n v="21"/>
    <x v="14"/>
    <n v="141"/>
    <n v="161"/>
    <x v="2"/>
    <n v="61"/>
  </r>
  <r>
    <n v="91"/>
    <n v="22"/>
    <x v="0"/>
    <n v="142"/>
    <n v="162"/>
    <x v="0"/>
    <n v="62"/>
  </r>
  <r>
    <n v="92"/>
    <n v="23"/>
    <x v="1"/>
    <n v="143"/>
    <n v="163"/>
    <x v="1"/>
    <n v="63"/>
  </r>
  <r>
    <n v="93"/>
    <n v="24"/>
    <x v="2"/>
    <n v="144"/>
    <n v="164"/>
    <x v="2"/>
    <n v="64"/>
  </r>
  <r>
    <n v="94"/>
    <n v="25"/>
    <x v="3"/>
    <n v="145"/>
    <n v="165"/>
    <x v="0"/>
    <n v="65"/>
  </r>
  <r>
    <n v="95"/>
    <n v="26"/>
    <x v="4"/>
    <n v="146"/>
    <n v="166"/>
    <x v="1"/>
    <n v="66"/>
  </r>
  <r>
    <n v="96"/>
    <n v="27"/>
    <x v="5"/>
    <n v="147"/>
    <n v="167"/>
    <x v="2"/>
    <n v="67"/>
  </r>
  <r>
    <n v="97"/>
    <n v="28"/>
    <x v="6"/>
    <n v="148"/>
    <n v="168"/>
    <x v="0"/>
    <n v="68"/>
  </r>
  <r>
    <n v="98"/>
    <n v="29"/>
    <x v="7"/>
    <n v="149"/>
    <n v="169"/>
    <x v="1"/>
    <n v="69"/>
  </r>
  <r>
    <n v="99"/>
    <n v="30"/>
    <x v="8"/>
    <n v="100"/>
    <n v="170"/>
    <x v="2"/>
    <n v="70"/>
  </r>
  <r>
    <n v="100"/>
    <n v="31"/>
    <x v="9"/>
    <n v="101"/>
    <n v="171"/>
    <x v="0"/>
    <n v="71"/>
  </r>
  <r>
    <n v="101"/>
    <n v="32"/>
    <x v="10"/>
    <n v="102"/>
    <n v="172"/>
    <x v="1"/>
    <n v="72"/>
  </r>
  <r>
    <n v="102"/>
    <n v="33"/>
    <x v="11"/>
    <n v="103"/>
    <n v="173"/>
    <x v="2"/>
    <n v="73"/>
  </r>
  <r>
    <n v="103"/>
    <n v="34"/>
    <x v="12"/>
    <n v="104"/>
    <n v="174"/>
    <x v="0"/>
    <n v="74"/>
  </r>
  <r>
    <n v="104"/>
    <n v="35"/>
    <x v="13"/>
    <n v="105"/>
    <n v="175"/>
    <x v="1"/>
    <n v="75"/>
  </r>
  <r>
    <n v="105"/>
    <n v="36"/>
    <x v="14"/>
    <n v="106"/>
    <n v="176"/>
    <x v="2"/>
    <n v="76"/>
  </r>
  <r>
    <n v="106"/>
    <n v="37"/>
    <x v="0"/>
    <n v="107"/>
    <n v="177"/>
    <x v="0"/>
    <n v="77"/>
  </r>
  <r>
    <n v="107"/>
    <n v="38"/>
    <x v="1"/>
    <n v="108"/>
    <n v="178"/>
    <x v="1"/>
    <n v="78"/>
  </r>
  <r>
    <n v="108"/>
    <n v="39"/>
    <x v="2"/>
    <n v="109"/>
    <n v="179"/>
    <x v="2"/>
    <n v="79"/>
  </r>
  <r>
    <n v="109"/>
    <n v="40"/>
    <x v="3"/>
    <n v="110"/>
    <n v="180"/>
    <x v="0"/>
    <n v="80"/>
  </r>
  <r>
    <n v="110"/>
    <n v="41"/>
    <x v="4"/>
    <n v="111"/>
    <n v="181"/>
    <x v="1"/>
    <n v="81"/>
  </r>
  <r>
    <n v="111"/>
    <n v="42"/>
    <x v="5"/>
    <n v="112"/>
    <n v="182"/>
    <x v="2"/>
    <n v="82"/>
  </r>
  <r>
    <n v="112"/>
    <n v="43"/>
    <x v="6"/>
    <n v="113"/>
    <n v="183"/>
    <x v="0"/>
    <n v="83"/>
  </r>
  <r>
    <n v="113"/>
    <n v="44"/>
    <x v="7"/>
    <n v="114"/>
    <n v="184"/>
    <x v="1"/>
    <n v="84"/>
  </r>
  <r>
    <n v="114"/>
    <n v="45"/>
    <x v="8"/>
    <n v="115"/>
    <n v="185"/>
    <x v="2"/>
    <n v="85"/>
  </r>
  <r>
    <n v="115"/>
    <n v="46"/>
    <x v="9"/>
    <n v="116"/>
    <n v="186"/>
    <x v="0"/>
    <n v="86"/>
  </r>
  <r>
    <n v="116"/>
    <n v="47"/>
    <x v="10"/>
    <n v="117"/>
    <n v="187"/>
    <x v="1"/>
    <n v="87"/>
  </r>
  <r>
    <n v="117"/>
    <n v="48"/>
    <x v="11"/>
    <n v="118"/>
    <n v="188"/>
    <x v="2"/>
    <n v="88"/>
  </r>
  <r>
    <n v="118"/>
    <n v="49"/>
    <x v="12"/>
    <n v="119"/>
    <n v="189"/>
    <x v="0"/>
    <n v="89"/>
  </r>
  <r>
    <n v="119"/>
    <n v="50"/>
    <x v="13"/>
    <n v="120"/>
    <n v="190"/>
    <x v="1"/>
    <n v="50"/>
  </r>
  <r>
    <n v="120"/>
    <n v="51"/>
    <x v="14"/>
    <n v="121"/>
    <n v="191"/>
    <x v="2"/>
    <n v="51"/>
  </r>
  <r>
    <n v="121"/>
    <n v="52"/>
    <x v="0"/>
    <n v="122"/>
    <n v="192"/>
    <x v="0"/>
    <n v="52"/>
  </r>
  <r>
    <n v="122"/>
    <n v="53"/>
    <x v="1"/>
    <n v="123"/>
    <n v="193"/>
    <x v="1"/>
    <n v="53"/>
  </r>
  <r>
    <n v="123"/>
    <n v="54"/>
    <x v="2"/>
    <n v="124"/>
    <n v="194"/>
    <x v="2"/>
    <n v="54"/>
  </r>
  <r>
    <n v="124"/>
    <n v="55"/>
    <x v="3"/>
    <n v="125"/>
    <n v="195"/>
    <x v="0"/>
    <n v="55"/>
  </r>
  <r>
    <n v="125"/>
    <n v="56"/>
    <x v="4"/>
    <n v="126"/>
    <n v="196"/>
    <x v="1"/>
    <n v="56"/>
  </r>
  <r>
    <n v="126"/>
    <n v="57"/>
    <x v="5"/>
    <n v="127"/>
    <n v="197"/>
    <x v="2"/>
    <n v="57"/>
  </r>
  <r>
    <n v="127"/>
    <n v="58"/>
    <x v="6"/>
    <n v="128"/>
    <n v="198"/>
    <x v="0"/>
    <n v="58"/>
  </r>
  <r>
    <n v="128"/>
    <n v="59"/>
    <x v="7"/>
    <n v="129"/>
    <n v="199"/>
    <x v="1"/>
    <n v="59"/>
  </r>
  <r>
    <n v="129"/>
    <n v="60"/>
    <x v="8"/>
    <n v="130"/>
    <n v="200"/>
    <x v="2"/>
    <n v="60"/>
  </r>
  <r>
    <n v="130"/>
    <n v="61"/>
    <x v="9"/>
    <n v="131"/>
    <n v="201"/>
    <x v="0"/>
    <n v="61"/>
  </r>
  <r>
    <n v="131"/>
    <n v="62"/>
    <x v="10"/>
    <n v="132"/>
    <n v="202"/>
    <x v="1"/>
    <n v="62"/>
  </r>
  <r>
    <n v="132"/>
    <n v="63"/>
    <x v="11"/>
    <n v="133"/>
    <n v="203"/>
    <x v="2"/>
    <n v="63"/>
  </r>
  <r>
    <n v="133"/>
    <n v="64"/>
    <x v="12"/>
    <n v="134"/>
    <n v="204"/>
    <x v="0"/>
    <n v="64"/>
  </r>
  <r>
    <n v="134"/>
    <n v="20"/>
    <x v="13"/>
    <n v="135"/>
    <n v="205"/>
    <x v="1"/>
    <n v="65"/>
  </r>
  <r>
    <n v="135"/>
    <n v="21"/>
    <x v="14"/>
    <n v="136"/>
    <n v="206"/>
    <x v="2"/>
    <n v="66"/>
  </r>
  <r>
    <n v="136"/>
    <n v="22"/>
    <x v="0"/>
    <n v="137"/>
    <n v="207"/>
    <x v="0"/>
    <n v="67"/>
  </r>
  <r>
    <n v="137"/>
    <n v="23"/>
    <x v="1"/>
    <n v="138"/>
    <n v="208"/>
    <x v="1"/>
    <n v="68"/>
  </r>
  <r>
    <n v="138"/>
    <n v="24"/>
    <x v="2"/>
    <n v="139"/>
    <n v="209"/>
    <x v="2"/>
    <n v="69"/>
  </r>
  <r>
    <n v="139"/>
    <n v="25"/>
    <x v="3"/>
    <n v="140"/>
    <n v="210"/>
    <x v="0"/>
    <n v="70"/>
  </r>
  <r>
    <n v="140"/>
    <n v="26"/>
    <x v="4"/>
    <n v="141"/>
    <n v="211"/>
    <x v="1"/>
    <n v="71"/>
  </r>
  <r>
    <n v="141"/>
    <n v="27"/>
    <x v="5"/>
    <n v="142"/>
    <n v="212"/>
    <x v="2"/>
    <n v="72"/>
  </r>
  <r>
    <n v="142"/>
    <n v="28"/>
    <x v="6"/>
    <n v="143"/>
    <n v="213"/>
    <x v="0"/>
    <n v="73"/>
  </r>
  <r>
    <n v="143"/>
    <n v="29"/>
    <x v="7"/>
    <n v="144"/>
    <n v="214"/>
    <x v="1"/>
    <n v="74"/>
  </r>
  <r>
    <n v="144"/>
    <n v="30"/>
    <x v="8"/>
    <n v="145"/>
    <n v="215"/>
    <x v="2"/>
    <n v="75"/>
  </r>
  <r>
    <n v="145"/>
    <n v="31"/>
    <x v="9"/>
    <n v="146"/>
    <n v="216"/>
    <x v="0"/>
    <n v="76"/>
  </r>
  <r>
    <n v="146"/>
    <n v="32"/>
    <x v="10"/>
    <n v="147"/>
    <n v="217"/>
    <x v="1"/>
    <n v="77"/>
  </r>
  <r>
    <n v="147"/>
    <n v="33"/>
    <x v="11"/>
    <n v="148"/>
    <n v="218"/>
    <x v="2"/>
    <n v="78"/>
  </r>
  <r>
    <n v="148"/>
    <n v="34"/>
    <x v="12"/>
    <n v="149"/>
    <n v="219"/>
    <x v="0"/>
    <n v="79"/>
  </r>
  <r>
    <n v="149"/>
    <n v="35"/>
    <x v="13"/>
    <n v="100"/>
    <n v="220"/>
    <x v="1"/>
    <n v="80"/>
  </r>
  <r>
    <n v="150"/>
    <n v="36"/>
    <x v="14"/>
    <n v="101"/>
    <n v="221"/>
    <x v="2"/>
    <n v="81"/>
  </r>
  <r>
    <n v="151"/>
    <n v="37"/>
    <x v="0"/>
    <n v="102"/>
    <n v="222"/>
    <x v="0"/>
    <n v="82"/>
  </r>
  <r>
    <n v="152"/>
    <n v="38"/>
    <x v="1"/>
    <n v="103"/>
    <n v="223"/>
    <x v="1"/>
    <n v="83"/>
  </r>
  <r>
    <n v="153"/>
    <n v="39"/>
    <x v="2"/>
    <n v="104"/>
    <n v="224"/>
    <x v="2"/>
    <n v="84"/>
  </r>
  <r>
    <n v="154"/>
    <n v="40"/>
    <x v="3"/>
    <n v="105"/>
    <n v="225"/>
    <x v="0"/>
    <n v="85"/>
  </r>
  <r>
    <n v="155"/>
    <n v="41"/>
    <x v="4"/>
    <n v="106"/>
    <n v="226"/>
    <x v="1"/>
    <n v="86"/>
  </r>
  <r>
    <n v="156"/>
    <n v="42"/>
    <x v="5"/>
    <n v="107"/>
    <n v="227"/>
    <x v="2"/>
    <n v="87"/>
  </r>
  <r>
    <n v="157"/>
    <n v="43"/>
    <x v="6"/>
    <n v="108"/>
    <n v="228"/>
    <x v="0"/>
    <n v="88"/>
  </r>
  <r>
    <n v="158"/>
    <n v="44"/>
    <x v="7"/>
    <n v="109"/>
    <n v="229"/>
    <x v="1"/>
    <n v="89"/>
  </r>
  <r>
    <n v="159"/>
    <n v="45"/>
    <x v="8"/>
    <n v="110"/>
    <n v="150"/>
    <x v="2"/>
    <n v="50"/>
  </r>
  <r>
    <n v="160"/>
    <n v="46"/>
    <x v="9"/>
    <n v="111"/>
    <n v="151"/>
    <x v="0"/>
    <n v="51"/>
  </r>
  <r>
    <n v="161"/>
    <n v="47"/>
    <x v="10"/>
    <n v="112"/>
    <n v="152"/>
    <x v="1"/>
    <n v="52"/>
  </r>
  <r>
    <n v="162"/>
    <n v="48"/>
    <x v="11"/>
    <n v="113"/>
    <n v="153"/>
    <x v="2"/>
    <n v="53"/>
  </r>
  <r>
    <n v="163"/>
    <n v="49"/>
    <x v="12"/>
    <n v="114"/>
    <n v="154"/>
    <x v="0"/>
    <n v="54"/>
  </r>
  <r>
    <n v="164"/>
    <n v="50"/>
    <x v="13"/>
    <n v="115"/>
    <n v="155"/>
    <x v="1"/>
    <n v="55"/>
  </r>
  <r>
    <n v="165"/>
    <n v="51"/>
    <x v="14"/>
    <n v="116"/>
    <n v="156"/>
    <x v="2"/>
    <n v="56"/>
  </r>
  <r>
    <n v="166"/>
    <n v="52"/>
    <x v="0"/>
    <n v="117"/>
    <n v="157"/>
    <x v="0"/>
    <n v="57"/>
  </r>
  <r>
    <n v="167"/>
    <n v="53"/>
    <x v="1"/>
    <n v="118"/>
    <n v="158"/>
    <x v="1"/>
    <n v="58"/>
  </r>
  <r>
    <n v="168"/>
    <n v="54"/>
    <x v="2"/>
    <n v="119"/>
    <n v="159"/>
    <x v="2"/>
    <n v="59"/>
  </r>
  <r>
    <n v="169"/>
    <n v="55"/>
    <x v="3"/>
    <n v="120"/>
    <n v="160"/>
    <x v="0"/>
    <n v="60"/>
  </r>
  <r>
    <n v="170"/>
    <n v="56"/>
    <x v="4"/>
    <n v="121"/>
    <n v="161"/>
    <x v="1"/>
    <n v="61"/>
  </r>
  <r>
    <n v="171"/>
    <n v="57"/>
    <x v="5"/>
    <n v="122"/>
    <n v="162"/>
    <x v="2"/>
    <n v="62"/>
  </r>
  <r>
    <n v="172"/>
    <n v="58"/>
    <x v="6"/>
    <n v="123"/>
    <n v="163"/>
    <x v="0"/>
    <n v="63"/>
  </r>
  <r>
    <n v="173"/>
    <n v="59"/>
    <x v="7"/>
    <n v="124"/>
    <n v="164"/>
    <x v="1"/>
    <n v="64"/>
  </r>
  <r>
    <n v="174"/>
    <n v="60"/>
    <x v="8"/>
    <n v="125"/>
    <n v="165"/>
    <x v="2"/>
    <n v="65"/>
  </r>
  <r>
    <n v="175"/>
    <n v="61"/>
    <x v="9"/>
    <n v="126"/>
    <n v="166"/>
    <x v="0"/>
    <n v="66"/>
  </r>
  <r>
    <n v="176"/>
    <n v="62"/>
    <x v="10"/>
    <n v="127"/>
    <n v="167"/>
    <x v="1"/>
    <n v="67"/>
  </r>
  <r>
    <n v="177"/>
    <n v="63"/>
    <x v="11"/>
    <n v="128"/>
    <n v="168"/>
    <x v="2"/>
    <n v="68"/>
  </r>
  <r>
    <n v="178"/>
    <n v="64"/>
    <x v="12"/>
    <n v="129"/>
    <n v="169"/>
    <x v="0"/>
    <n v="69"/>
  </r>
  <r>
    <n v="179"/>
    <n v="20"/>
    <x v="13"/>
    <n v="130"/>
    <n v="170"/>
    <x v="1"/>
    <n v="70"/>
  </r>
  <r>
    <n v="180"/>
    <n v="21"/>
    <x v="14"/>
    <n v="131"/>
    <n v="171"/>
    <x v="2"/>
    <n v="71"/>
  </r>
  <r>
    <n v="181"/>
    <n v="22"/>
    <x v="0"/>
    <n v="132"/>
    <n v="172"/>
    <x v="0"/>
    <n v="72"/>
  </r>
  <r>
    <n v="182"/>
    <n v="23"/>
    <x v="1"/>
    <n v="133"/>
    <n v="173"/>
    <x v="1"/>
    <n v="73"/>
  </r>
  <r>
    <n v="183"/>
    <n v="24"/>
    <x v="2"/>
    <n v="134"/>
    <n v="174"/>
    <x v="2"/>
    <n v="74"/>
  </r>
  <r>
    <n v="184"/>
    <n v="25"/>
    <x v="3"/>
    <n v="135"/>
    <n v="175"/>
    <x v="0"/>
    <n v="75"/>
  </r>
  <r>
    <n v="185"/>
    <n v="26"/>
    <x v="4"/>
    <n v="136"/>
    <n v="176"/>
    <x v="1"/>
    <n v="76"/>
  </r>
  <r>
    <n v="186"/>
    <n v="27"/>
    <x v="5"/>
    <n v="137"/>
    <n v="177"/>
    <x v="2"/>
    <n v="77"/>
  </r>
  <r>
    <n v="187"/>
    <n v="28"/>
    <x v="6"/>
    <n v="138"/>
    <n v="178"/>
    <x v="0"/>
    <n v="78"/>
  </r>
  <r>
    <n v="188"/>
    <n v="29"/>
    <x v="7"/>
    <n v="139"/>
    <n v="179"/>
    <x v="1"/>
    <n v="79"/>
  </r>
  <r>
    <n v="189"/>
    <n v="30"/>
    <x v="8"/>
    <n v="140"/>
    <n v="180"/>
    <x v="2"/>
    <n v="80"/>
  </r>
  <r>
    <n v="190"/>
    <n v="31"/>
    <x v="9"/>
    <n v="141"/>
    <n v="181"/>
    <x v="0"/>
    <n v="81"/>
  </r>
  <r>
    <n v="191"/>
    <n v="32"/>
    <x v="10"/>
    <n v="142"/>
    <n v="182"/>
    <x v="1"/>
    <n v="82"/>
  </r>
  <r>
    <n v="192"/>
    <n v="33"/>
    <x v="11"/>
    <n v="143"/>
    <n v="183"/>
    <x v="2"/>
    <n v="83"/>
  </r>
  <r>
    <n v="193"/>
    <n v="34"/>
    <x v="12"/>
    <n v="144"/>
    <n v="184"/>
    <x v="0"/>
    <n v="84"/>
  </r>
  <r>
    <n v="194"/>
    <n v="35"/>
    <x v="13"/>
    <n v="145"/>
    <n v="185"/>
    <x v="1"/>
    <n v="85"/>
  </r>
  <r>
    <n v="195"/>
    <n v="36"/>
    <x v="14"/>
    <n v="146"/>
    <n v="186"/>
    <x v="2"/>
    <n v="86"/>
  </r>
  <r>
    <n v="196"/>
    <n v="37"/>
    <x v="0"/>
    <n v="147"/>
    <n v="187"/>
    <x v="0"/>
    <n v="87"/>
  </r>
  <r>
    <n v="197"/>
    <n v="38"/>
    <x v="1"/>
    <n v="148"/>
    <n v="188"/>
    <x v="1"/>
    <n v="88"/>
  </r>
  <r>
    <n v="198"/>
    <n v="39"/>
    <x v="2"/>
    <n v="149"/>
    <n v="189"/>
    <x v="2"/>
    <n v="89"/>
  </r>
  <r>
    <n v="199"/>
    <n v="40"/>
    <x v="3"/>
    <n v="100"/>
    <n v="190"/>
    <x v="0"/>
    <n v="50"/>
  </r>
  <r>
    <n v="200"/>
    <n v="41"/>
    <x v="4"/>
    <n v="101"/>
    <n v="191"/>
    <x v="1"/>
    <n v="5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4"/>
    <n v="20"/>
    <n v="102"/>
    <n v="152"/>
    <x v="0"/>
    <n v="52"/>
  </r>
  <r>
    <n v="2"/>
    <n v="23"/>
    <n v="21"/>
    <n v="103"/>
    <n v="153"/>
    <x v="1"/>
    <n v="53"/>
  </r>
  <r>
    <n v="3"/>
    <n v="24"/>
    <n v="22"/>
    <n v="104"/>
    <n v="154"/>
    <x v="2"/>
    <n v="54"/>
  </r>
  <r>
    <n v="4"/>
    <n v="25"/>
    <n v="23"/>
    <n v="105"/>
    <n v="155"/>
    <x v="0"/>
    <n v="55"/>
  </r>
  <r>
    <n v="5"/>
    <n v="26"/>
    <n v="24"/>
    <n v="106"/>
    <n v="156"/>
    <x v="1"/>
    <n v="56"/>
  </r>
  <r>
    <n v="6"/>
    <n v="27"/>
    <n v="25"/>
    <n v="107"/>
    <n v="157"/>
    <x v="2"/>
    <n v="57"/>
  </r>
  <r>
    <n v="7"/>
    <n v="28"/>
    <n v="26"/>
    <n v="108"/>
    <n v="158"/>
    <x v="0"/>
    <n v="58"/>
  </r>
  <r>
    <n v="8"/>
    <n v="29"/>
    <n v="27"/>
    <n v="109"/>
    <n v="159"/>
    <x v="1"/>
    <n v="59"/>
  </r>
  <r>
    <n v="9"/>
    <n v="30"/>
    <n v="28"/>
    <n v="110"/>
    <n v="160"/>
    <x v="2"/>
    <n v="60"/>
  </r>
  <r>
    <n v="10"/>
    <n v="31"/>
    <n v="29"/>
    <n v="111"/>
    <n v="161"/>
    <x v="0"/>
    <n v="61"/>
  </r>
  <r>
    <n v="11"/>
    <n v="32"/>
    <n v="30"/>
    <n v="112"/>
    <n v="162"/>
    <x v="1"/>
    <n v="62"/>
  </r>
  <r>
    <n v="12"/>
    <n v="33"/>
    <n v="31"/>
    <n v="113"/>
    <n v="163"/>
    <x v="2"/>
    <n v="63"/>
  </r>
  <r>
    <n v="13"/>
    <n v="34"/>
    <n v="32"/>
    <n v="114"/>
    <n v="164"/>
    <x v="0"/>
    <n v="64"/>
  </r>
  <r>
    <n v="14"/>
    <n v="35"/>
    <n v="18"/>
    <n v="115"/>
    <n v="165"/>
    <x v="1"/>
    <n v="65"/>
  </r>
  <r>
    <n v="15"/>
    <n v="36"/>
    <n v="19"/>
    <n v="116"/>
    <n v="166"/>
    <x v="2"/>
    <n v="66"/>
  </r>
  <r>
    <n v="16"/>
    <n v="37"/>
    <n v="20"/>
    <n v="117"/>
    <n v="167"/>
    <x v="0"/>
    <n v="67"/>
  </r>
  <r>
    <n v="17"/>
    <n v="38"/>
    <n v="21"/>
    <n v="118"/>
    <n v="168"/>
    <x v="1"/>
    <n v="68"/>
  </r>
  <r>
    <n v="18"/>
    <n v="39"/>
    <n v="22"/>
    <n v="119"/>
    <n v="169"/>
    <x v="2"/>
    <n v="69"/>
  </r>
  <r>
    <n v="19"/>
    <n v="40"/>
    <n v="23"/>
    <n v="120"/>
    <n v="170"/>
    <x v="0"/>
    <n v="70"/>
  </r>
  <r>
    <n v="20"/>
    <n v="41"/>
    <n v="24"/>
    <n v="121"/>
    <n v="171"/>
    <x v="1"/>
    <n v="71"/>
  </r>
  <r>
    <n v="21"/>
    <n v="42"/>
    <n v="25"/>
    <n v="122"/>
    <n v="172"/>
    <x v="2"/>
    <n v="72"/>
  </r>
  <r>
    <n v="22"/>
    <n v="43"/>
    <n v="26"/>
    <n v="123"/>
    <n v="173"/>
    <x v="0"/>
    <n v="73"/>
  </r>
  <r>
    <n v="23"/>
    <n v="44"/>
    <n v="27"/>
    <n v="124"/>
    <n v="174"/>
    <x v="1"/>
    <n v="74"/>
  </r>
  <r>
    <n v="24"/>
    <n v="45"/>
    <n v="28"/>
    <n v="125"/>
    <n v="175"/>
    <x v="2"/>
    <n v="75"/>
  </r>
  <r>
    <n v="25"/>
    <n v="46"/>
    <n v="29"/>
    <n v="126"/>
    <n v="176"/>
    <x v="0"/>
    <n v="76"/>
  </r>
  <r>
    <n v="26"/>
    <n v="47"/>
    <n v="30"/>
    <n v="127"/>
    <n v="177"/>
    <x v="1"/>
    <n v="77"/>
  </r>
  <r>
    <n v="27"/>
    <n v="48"/>
    <n v="31"/>
    <n v="128"/>
    <n v="178"/>
    <x v="2"/>
    <n v="78"/>
  </r>
  <r>
    <n v="28"/>
    <n v="49"/>
    <n v="32"/>
    <n v="129"/>
    <n v="179"/>
    <x v="0"/>
    <n v="79"/>
  </r>
  <r>
    <n v="29"/>
    <n v="50"/>
    <n v="18"/>
    <n v="130"/>
    <n v="180"/>
    <x v="1"/>
    <n v="80"/>
  </r>
  <r>
    <n v="30"/>
    <n v="51"/>
    <n v="19"/>
    <n v="131"/>
    <n v="181"/>
    <x v="2"/>
    <n v="81"/>
  </r>
  <r>
    <n v="31"/>
    <n v="52"/>
    <n v="20"/>
    <n v="132"/>
    <n v="182"/>
    <x v="0"/>
    <n v="82"/>
  </r>
  <r>
    <n v="32"/>
    <n v="53"/>
    <n v="21"/>
    <n v="133"/>
    <n v="183"/>
    <x v="1"/>
    <n v="83"/>
  </r>
  <r>
    <n v="33"/>
    <n v="54"/>
    <n v="22"/>
    <n v="134"/>
    <n v="184"/>
    <x v="2"/>
    <n v="84"/>
  </r>
  <r>
    <n v="34"/>
    <n v="55"/>
    <n v="23"/>
    <n v="135"/>
    <n v="185"/>
    <x v="0"/>
    <n v="85"/>
  </r>
  <r>
    <n v="35"/>
    <n v="56"/>
    <n v="24"/>
    <n v="136"/>
    <n v="186"/>
    <x v="1"/>
    <n v="86"/>
  </r>
  <r>
    <n v="36"/>
    <n v="57"/>
    <n v="25"/>
    <n v="137"/>
    <n v="187"/>
    <x v="2"/>
    <n v="87"/>
  </r>
  <r>
    <n v="37"/>
    <n v="58"/>
    <n v="26"/>
    <n v="138"/>
    <n v="188"/>
    <x v="0"/>
    <n v="88"/>
  </r>
  <r>
    <n v="38"/>
    <n v="59"/>
    <n v="27"/>
    <n v="139"/>
    <n v="189"/>
    <x v="1"/>
    <n v="89"/>
  </r>
  <r>
    <n v="39"/>
    <n v="60"/>
    <n v="28"/>
    <n v="140"/>
    <n v="190"/>
    <x v="2"/>
    <n v="50"/>
  </r>
  <r>
    <n v="40"/>
    <n v="61"/>
    <n v="29"/>
    <n v="141"/>
    <n v="191"/>
    <x v="0"/>
    <n v="51"/>
  </r>
  <r>
    <n v="41"/>
    <n v="62"/>
    <n v="30"/>
    <n v="142"/>
    <n v="192"/>
    <x v="1"/>
    <n v="52"/>
  </r>
  <r>
    <n v="42"/>
    <n v="63"/>
    <n v="31"/>
    <n v="143"/>
    <n v="193"/>
    <x v="2"/>
    <n v="53"/>
  </r>
  <r>
    <n v="43"/>
    <n v="64"/>
    <n v="32"/>
    <n v="144"/>
    <n v="194"/>
    <x v="0"/>
    <n v="54"/>
  </r>
  <r>
    <n v="44"/>
    <n v="20"/>
    <n v="18"/>
    <n v="145"/>
    <n v="195"/>
    <x v="1"/>
    <n v="55"/>
  </r>
  <r>
    <n v="45"/>
    <n v="21"/>
    <n v="19"/>
    <n v="146"/>
    <n v="196"/>
    <x v="2"/>
    <n v="56"/>
  </r>
  <r>
    <n v="46"/>
    <n v="22"/>
    <n v="20"/>
    <n v="147"/>
    <n v="197"/>
    <x v="0"/>
    <n v="57"/>
  </r>
  <r>
    <n v="47"/>
    <n v="23"/>
    <n v="21"/>
    <n v="148"/>
    <n v="198"/>
    <x v="1"/>
    <n v="58"/>
  </r>
  <r>
    <n v="48"/>
    <n v="24"/>
    <n v="22"/>
    <n v="149"/>
    <n v="199"/>
    <x v="2"/>
    <n v="59"/>
  </r>
  <r>
    <n v="49"/>
    <n v="25"/>
    <n v="23"/>
    <n v="100"/>
    <n v="200"/>
    <x v="0"/>
    <n v="60"/>
  </r>
  <r>
    <n v="50"/>
    <n v="26"/>
    <n v="24"/>
    <n v="101"/>
    <n v="201"/>
    <x v="1"/>
    <n v="61"/>
  </r>
  <r>
    <n v="51"/>
    <n v="27"/>
    <n v="25"/>
    <n v="102"/>
    <n v="202"/>
    <x v="2"/>
    <n v="62"/>
  </r>
  <r>
    <n v="52"/>
    <n v="28"/>
    <n v="26"/>
    <n v="103"/>
    <n v="203"/>
    <x v="0"/>
    <n v="63"/>
  </r>
  <r>
    <n v="53"/>
    <n v="29"/>
    <n v="27"/>
    <n v="104"/>
    <n v="204"/>
    <x v="1"/>
    <n v="64"/>
  </r>
  <r>
    <n v="54"/>
    <n v="30"/>
    <n v="28"/>
    <n v="105"/>
    <n v="205"/>
    <x v="2"/>
    <n v="65"/>
  </r>
  <r>
    <n v="55"/>
    <n v="31"/>
    <n v="29"/>
    <n v="106"/>
    <n v="206"/>
    <x v="0"/>
    <n v="66"/>
  </r>
  <r>
    <n v="56"/>
    <n v="32"/>
    <n v="30"/>
    <n v="107"/>
    <n v="207"/>
    <x v="1"/>
    <n v="67"/>
  </r>
  <r>
    <n v="57"/>
    <n v="33"/>
    <n v="31"/>
    <n v="108"/>
    <n v="208"/>
    <x v="2"/>
    <n v="68"/>
  </r>
  <r>
    <n v="58"/>
    <n v="34"/>
    <n v="32"/>
    <n v="109"/>
    <n v="209"/>
    <x v="0"/>
    <n v="69"/>
  </r>
  <r>
    <n v="59"/>
    <n v="35"/>
    <n v="18"/>
    <n v="110"/>
    <n v="210"/>
    <x v="1"/>
    <n v="70"/>
  </r>
  <r>
    <n v="60"/>
    <n v="36"/>
    <n v="19"/>
    <n v="111"/>
    <n v="211"/>
    <x v="2"/>
    <n v="71"/>
  </r>
  <r>
    <n v="61"/>
    <n v="37"/>
    <n v="20"/>
    <n v="112"/>
    <n v="212"/>
    <x v="0"/>
    <n v="72"/>
  </r>
  <r>
    <n v="62"/>
    <n v="38"/>
    <n v="21"/>
    <n v="113"/>
    <n v="213"/>
    <x v="1"/>
    <n v="73"/>
  </r>
  <r>
    <n v="63"/>
    <n v="39"/>
    <n v="22"/>
    <n v="114"/>
    <n v="214"/>
    <x v="2"/>
    <n v="74"/>
  </r>
  <r>
    <n v="64"/>
    <n v="40"/>
    <n v="23"/>
    <n v="115"/>
    <n v="215"/>
    <x v="0"/>
    <n v="75"/>
  </r>
  <r>
    <n v="65"/>
    <n v="41"/>
    <n v="24"/>
    <n v="116"/>
    <n v="216"/>
    <x v="1"/>
    <n v="76"/>
  </r>
  <r>
    <n v="66"/>
    <n v="42"/>
    <n v="25"/>
    <n v="117"/>
    <n v="217"/>
    <x v="2"/>
    <n v="77"/>
  </r>
  <r>
    <n v="67"/>
    <n v="43"/>
    <n v="26"/>
    <n v="118"/>
    <n v="218"/>
    <x v="0"/>
    <n v="78"/>
  </r>
  <r>
    <n v="68"/>
    <n v="44"/>
    <n v="27"/>
    <n v="119"/>
    <n v="219"/>
    <x v="1"/>
    <n v="79"/>
  </r>
  <r>
    <n v="69"/>
    <n v="45"/>
    <n v="28"/>
    <n v="120"/>
    <n v="220"/>
    <x v="2"/>
    <n v="80"/>
  </r>
  <r>
    <n v="70"/>
    <n v="46"/>
    <n v="29"/>
    <n v="121"/>
    <n v="221"/>
    <x v="0"/>
    <n v="81"/>
  </r>
  <r>
    <n v="71"/>
    <n v="47"/>
    <n v="30"/>
    <n v="122"/>
    <n v="222"/>
    <x v="1"/>
    <n v="82"/>
  </r>
  <r>
    <n v="72"/>
    <n v="48"/>
    <n v="31"/>
    <n v="123"/>
    <n v="223"/>
    <x v="2"/>
    <n v="83"/>
  </r>
  <r>
    <n v="73"/>
    <n v="49"/>
    <n v="32"/>
    <n v="124"/>
    <n v="224"/>
    <x v="0"/>
    <n v="84"/>
  </r>
  <r>
    <n v="74"/>
    <n v="50"/>
    <n v="18"/>
    <n v="125"/>
    <n v="225"/>
    <x v="1"/>
    <n v="85"/>
  </r>
  <r>
    <n v="75"/>
    <n v="51"/>
    <n v="19"/>
    <n v="126"/>
    <n v="226"/>
    <x v="2"/>
    <n v="86"/>
  </r>
  <r>
    <n v="76"/>
    <n v="52"/>
    <n v="20"/>
    <n v="127"/>
    <n v="227"/>
    <x v="0"/>
    <n v="87"/>
  </r>
  <r>
    <n v="77"/>
    <n v="53"/>
    <n v="21"/>
    <n v="128"/>
    <n v="228"/>
    <x v="1"/>
    <n v="88"/>
  </r>
  <r>
    <n v="78"/>
    <n v="54"/>
    <n v="22"/>
    <n v="129"/>
    <n v="229"/>
    <x v="2"/>
    <n v="89"/>
  </r>
  <r>
    <n v="79"/>
    <n v="55"/>
    <n v="23"/>
    <n v="130"/>
    <n v="150"/>
    <x v="0"/>
    <n v="50"/>
  </r>
  <r>
    <n v="80"/>
    <n v="56"/>
    <n v="24"/>
    <n v="131"/>
    <n v="151"/>
    <x v="1"/>
    <n v="51"/>
  </r>
  <r>
    <n v="81"/>
    <n v="57"/>
    <n v="25"/>
    <n v="132"/>
    <n v="152"/>
    <x v="2"/>
    <n v="52"/>
  </r>
  <r>
    <n v="82"/>
    <n v="58"/>
    <n v="26"/>
    <n v="133"/>
    <n v="153"/>
    <x v="0"/>
    <n v="53"/>
  </r>
  <r>
    <n v="83"/>
    <n v="59"/>
    <n v="27"/>
    <n v="134"/>
    <n v="154"/>
    <x v="1"/>
    <n v="54"/>
  </r>
  <r>
    <n v="84"/>
    <n v="60"/>
    <n v="28"/>
    <n v="135"/>
    <n v="155"/>
    <x v="2"/>
    <n v="55"/>
  </r>
  <r>
    <n v="85"/>
    <n v="61"/>
    <n v="29"/>
    <n v="136"/>
    <n v="156"/>
    <x v="0"/>
    <n v="56"/>
  </r>
  <r>
    <n v="86"/>
    <n v="62"/>
    <n v="30"/>
    <n v="137"/>
    <n v="157"/>
    <x v="1"/>
    <n v="57"/>
  </r>
  <r>
    <n v="87"/>
    <n v="63"/>
    <n v="31"/>
    <n v="138"/>
    <n v="158"/>
    <x v="2"/>
    <n v="58"/>
  </r>
  <r>
    <n v="88"/>
    <n v="64"/>
    <n v="32"/>
    <n v="139"/>
    <n v="159"/>
    <x v="0"/>
    <n v="59"/>
  </r>
  <r>
    <n v="89"/>
    <n v="20"/>
    <n v="18"/>
    <n v="140"/>
    <n v="160"/>
    <x v="1"/>
    <n v="60"/>
  </r>
  <r>
    <n v="90"/>
    <n v="21"/>
    <n v="19"/>
    <n v="141"/>
    <n v="161"/>
    <x v="2"/>
    <n v="61"/>
  </r>
  <r>
    <n v="91"/>
    <n v="22"/>
    <n v="20"/>
    <n v="142"/>
    <n v="162"/>
    <x v="0"/>
    <n v="62"/>
  </r>
  <r>
    <n v="92"/>
    <n v="23"/>
    <n v="21"/>
    <n v="143"/>
    <n v="163"/>
    <x v="1"/>
    <n v="63"/>
  </r>
  <r>
    <n v="93"/>
    <n v="24"/>
    <n v="22"/>
    <n v="144"/>
    <n v="164"/>
    <x v="2"/>
    <n v="64"/>
  </r>
  <r>
    <n v="94"/>
    <n v="25"/>
    <n v="23"/>
    <n v="145"/>
    <n v="165"/>
    <x v="0"/>
    <n v="65"/>
  </r>
  <r>
    <n v="95"/>
    <n v="26"/>
    <n v="24"/>
    <n v="146"/>
    <n v="166"/>
    <x v="1"/>
    <n v="66"/>
  </r>
  <r>
    <n v="96"/>
    <n v="27"/>
    <n v="25"/>
    <n v="147"/>
    <n v="167"/>
    <x v="2"/>
    <n v="67"/>
  </r>
  <r>
    <n v="97"/>
    <n v="28"/>
    <n v="26"/>
    <n v="148"/>
    <n v="168"/>
    <x v="0"/>
    <n v="68"/>
  </r>
  <r>
    <n v="98"/>
    <n v="29"/>
    <n v="27"/>
    <n v="149"/>
    <n v="169"/>
    <x v="1"/>
    <n v="69"/>
  </r>
  <r>
    <n v="99"/>
    <n v="30"/>
    <n v="28"/>
    <n v="100"/>
    <n v="170"/>
    <x v="2"/>
    <n v="70"/>
  </r>
  <r>
    <n v="100"/>
    <n v="31"/>
    <n v="29"/>
    <n v="101"/>
    <n v="171"/>
    <x v="0"/>
    <n v="71"/>
  </r>
  <r>
    <n v="101"/>
    <n v="32"/>
    <n v="30"/>
    <n v="102"/>
    <n v="172"/>
    <x v="1"/>
    <n v="72"/>
  </r>
  <r>
    <n v="102"/>
    <n v="33"/>
    <n v="31"/>
    <n v="103"/>
    <n v="173"/>
    <x v="2"/>
    <n v="73"/>
  </r>
  <r>
    <n v="103"/>
    <n v="34"/>
    <n v="32"/>
    <n v="104"/>
    <n v="174"/>
    <x v="0"/>
    <n v="74"/>
  </r>
  <r>
    <n v="104"/>
    <n v="35"/>
    <n v="18"/>
    <n v="105"/>
    <n v="175"/>
    <x v="1"/>
    <n v="75"/>
  </r>
  <r>
    <n v="105"/>
    <n v="36"/>
    <n v="19"/>
    <n v="106"/>
    <n v="176"/>
    <x v="2"/>
    <n v="76"/>
  </r>
  <r>
    <n v="106"/>
    <n v="37"/>
    <n v="20"/>
    <n v="107"/>
    <n v="177"/>
    <x v="0"/>
    <n v="77"/>
  </r>
  <r>
    <n v="107"/>
    <n v="38"/>
    <n v="21"/>
    <n v="108"/>
    <n v="178"/>
    <x v="1"/>
    <n v="78"/>
  </r>
  <r>
    <n v="108"/>
    <n v="39"/>
    <n v="22"/>
    <n v="109"/>
    <n v="179"/>
    <x v="2"/>
    <n v="79"/>
  </r>
  <r>
    <n v="109"/>
    <n v="40"/>
    <n v="23"/>
    <n v="110"/>
    <n v="180"/>
    <x v="0"/>
    <n v="80"/>
  </r>
  <r>
    <n v="110"/>
    <n v="41"/>
    <n v="24"/>
    <n v="111"/>
    <n v="181"/>
    <x v="1"/>
    <n v="81"/>
  </r>
  <r>
    <n v="111"/>
    <n v="42"/>
    <n v="25"/>
    <n v="112"/>
    <n v="182"/>
    <x v="2"/>
    <n v="82"/>
  </r>
  <r>
    <n v="112"/>
    <n v="43"/>
    <n v="26"/>
    <n v="113"/>
    <n v="183"/>
    <x v="0"/>
    <n v="83"/>
  </r>
  <r>
    <n v="113"/>
    <n v="44"/>
    <n v="27"/>
    <n v="114"/>
    <n v="184"/>
    <x v="1"/>
    <n v="84"/>
  </r>
  <r>
    <n v="114"/>
    <n v="45"/>
    <n v="28"/>
    <n v="115"/>
    <n v="185"/>
    <x v="2"/>
    <n v="85"/>
  </r>
  <r>
    <n v="115"/>
    <n v="46"/>
    <n v="29"/>
    <n v="116"/>
    <n v="186"/>
    <x v="0"/>
    <n v="86"/>
  </r>
  <r>
    <n v="116"/>
    <n v="47"/>
    <n v="30"/>
    <n v="117"/>
    <n v="187"/>
    <x v="1"/>
    <n v="87"/>
  </r>
  <r>
    <n v="117"/>
    <n v="48"/>
    <n v="31"/>
    <n v="118"/>
    <n v="188"/>
    <x v="2"/>
    <n v="88"/>
  </r>
  <r>
    <n v="118"/>
    <n v="49"/>
    <n v="32"/>
    <n v="119"/>
    <n v="189"/>
    <x v="0"/>
    <n v="89"/>
  </r>
  <r>
    <n v="119"/>
    <n v="50"/>
    <n v="18"/>
    <n v="120"/>
    <n v="190"/>
    <x v="1"/>
    <n v="50"/>
  </r>
  <r>
    <n v="120"/>
    <n v="51"/>
    <n v="19"/>
    <n v="121"/>
    <n v="191"/>
    <x v="2"/>
    <n v="51"/>
  </r>
  <r>
    <n v="121"/>
    <n v="52"/>
    <n v="20"/>
    <n v="122"/>
    <n v="192"/>
    <x v="0"/>
    <n v="52"/>
  </r>
  <r>
    <n v="122"/>
    <n v="53"/>
    <n v="21"/>
    <n v="123"/>
    <n v="193"/>
    <x v="1"/>
    <n v="53"/>
  </r>
  <r>
    <n v="123"/>
    <n v="54"/>
    <n v="22"/>
    <n v="124"/>
    <n v="194"/>
    <x v="2"/>
    <n v="54"/>
  </r>
  <r>
    <n v="124"/>
    <n v="55"/>
    <n v="23"/>
    <n v="125"/>
    <n v="195"/>
    <x v="0"/>
    <n v="55"/>
  </r>
  <r>
    <n v="125"/>
    <n v="56"/>
    <n v="24"/>
    <n v="126"/>
    <n v="196"/>
    <x v="1"/>
    <n v="56"/>
  </r>
  <r>
    <n v="126"/>
    <n v="57"/>
    <n v="25"/>
    <n v="127"/>
    <n v="197"/>
    <x v="2"/>
    <n v="57"/>
  </r>
  <r>
    <n v="127"/>
    <n v="58"/>
    <n v="26"/>
    <n v="128"/>
    <n v="198"/>
    <x v="0"/>
    <n v="58"/>
  </r>
  <r>
    <n v="128"/>
    <n v="59"/>
    <n v="27"/>
    <n v="129"/>
    <n v="199"/>
    <x v="1"/>
    <n v="59"/>
  </r>
  <r>
    <n v="129"/>
    <n v="60"/>
    <n v="28"/>
    <n v="130"/>
    <n v="200"/>
    <x v="2"/>
    <n v="60"/>
  </r>
  <r>
    <n v="130"/>
    <n v="61"/>
    <n v="29"/>
    <n v="131"/>
    <n v="201"/>
    <x v="0"/>
    <n v="61"/>
  </r>
  <r>
    <n v="131"/>
    <n v="62"/>
    <n v="30"/>
    <n v="132"/>
    <n v="202"/>
    <x v="1"/>
    <n v="62"/>
  </r>
  <r>
    <n v="132"/>
    <n v="63"/>
    <n v="31"/>
    <n v="133"/>
    <n v="203"/>
    <x v="2"/>
    <n v="63"/>
  </r>
  <r>
    <n v="133"/>
    <n v="64"/>
    <n v="32"/>
    <n v="134"/>
    <n v="204"/>
    <x v="0"/>
    <n v="64"/>
  </r>
  <r>
    <n v="134"/>
    <n v="20"/>
    <n v="18"/>
    <n v="135"/>
    <n v="205"/>
    <x v="1"/>
    <n v="65"/>
  </r>
  <r>
    <n v="135"/>
    <n v="21"/>
    <n v="19"/>
    <n v="136"/>
    <n v="206"/>
    <x v="2"/>
    <n v="66"/>
  </r>
  <r>
    <n v="136"/>
    <n v="22"/>
    <n v="20"/>
    <n v="137"/>
    <n v="207"/>
    <x v="0"/>
    <n v="67"/>
  </r>
  <r>
    <n v="137"/>
    <n v="23"/>
    <n v="21"/>
    <n v="138"/>
    <n v="208"/>
    <x v="1"/>
    <n v="68"/>
  </r>
  <r>
    <n v="138"/>
    <n v="24"/>
    <n v="22"/>
    <n v="139"/>
    <n v="209"/>
    <x v="2"/>
    <n v="69"/>
  </r>
  <r>
    <n v="139"/>
    <n v="25"/>
    <n v="23"/>
    <n v="140"/>
    <n v="210"/>
    <x v="0"/>
    <n v="70"/>
  </r>
  <r>
    <n v="140"/>
    <n v="26"/>
    <n v="24"/>
    <n v="141"/>
    <n v="211"/>
    <x v="1"/>
    <n v="71"/>
  </r>
  <r>
    <n v="141"/>
    <n v="27"/>
    <n v="25"/>
    <n v="142"/>
    <n v="212"/>
    <x v="2"/>
    <n v="72"/>
  </r>
  <r>
    <n v="142"/>
    <n v="28"/>
    <n v="26"/>
    <n v="143"/>
    <n v="213"/>
    <x v="0"/>
    <n v="73"/>
  </r>
  <r>
    <n v="143"/>
    <n v="29"/>
    <n v="27"/>
    <n v="144"/>
    <n v="214"/>
    <x v="1"/>
    <n v="74"/>
  </r>
  <r>
    <n v="144"/>
    <n v="30"/>
    <n v="28"/>
    <n v="145"/>
    <n v="215"/>
    <x v="2"/>
    <n v="75"/>
  </r>
  <r>
    <n v="145"/>
    <n v="31"/>
    <n v="29"/>
    <n v="146"/>
    <n v="216"/>
    <x v="0"/>
    <n v="76"/>
  </r>
  <r>
    <n v="146"/>
    <n v="32"/>
    <n v="30"/>
    <n v="147"/>
    <n v="217"/>
    <x v="1"/>
    <n v="77"/>
  </r>
  <r>
    <n v="147"/>
    <n v="33"/>
    <n v="31"/>
    <n v="148"/>
    <n v="218"/>
    <x v="2"/>
    <n v="78"/>
  </r>
  <r>
    <n v="148"/>
    <n v="34"/>
    <n v="32"/>
    <n v="149"/>
    <n v="219"/>
    <x v="0"/>
    <n v="79"/>
  </r>
  <r>
    <n v="149"/>
    <n v="35"/>
    <n v="18"/>
    <n v="100"/>
    <n v="220"/>
    <x v="1"/>
    <n v="80"/>
  </r>
  <r>
    <n v="150"/>
    <n v="36"/>
    <n v="19"/>
    <n v="101"/>
    <n v="221"/>
    <x v="2"/>
    <n v="81"/>
  </r>
  <r>
    <n v="151"/>
    <n v="37"/>
    <n v="20"/>
    <n v="102"/>
    <n v="222"/>
    <x v="0"/>
    <n v="82"/>
  </r>
  <r>
    <n v="152"/>
    <n v="38"/>
    <n v="21"/>
    <n v="103"/>
    <n v="223"/>
    <x v="1"/>
    <n v="83"/>
  </r>
  <r>
    <n v="153"/>
    <n v="39"/>
    <n v="22"/>
    <n v="104"/>
    <n v="224"/>
    <x v="2"/>
    <n v="84"/>
  </r>
  <r>
    <n v="154"/>
    <n v="40"/>
    <n v="23"/>
    <n v="105"/>
    <n v="225"/>
    <x v="0"/>
    <n v="85"/>
  </r>
  <r>
    <n v="155"/>
    <n v="41"/>
    <n v="24"/>
    <n v="106"/>
    <n v="226"/>
    <x v="1"/>
    <n v="86"/>
  </r>
  <r>
    <n v="156"/>
    <n v="42"/>
    <n v="25"/>
    <n v="107"/>
    <n v="227"/>
    <x v="2"/>
    <n v="87"/>
  </r>
  <r>
    <n v="157"/>
    <n v="43"/>
    <n v="26"/>
    <n v="108"/>
    <n v="228"/>
    <x v="0"/>
    <n v="88"/>
  </r>
  <r>
    <n v="158"/>
    <n v="44"/>
    <n v="27"/>
    <n v="109"/>
    <n v="229"/>
    <x v="1"/>
    <n v="89"/>
  </r>
  <r>
    <n v="159"/>
    <n v="45"/>
    <n v="28"/>
    <n v="110"/>
    <n v="150"/>
    <x v="2"/>
    <n v="50"/>
  </r>
  <r>
    <n v="160"/>
    <n v="46"/>
    <n v="29"/>
    <n v="111"/>
    <n v="151"/>
    <x v="0"/>
    <n v="51"/>
  </r>
  <r>
    <n v="161"/>
    <n v="47"/>
    <n v="30"/>
    <n v="112"/>
    <n v="152"/>
    <x v="1"/>
    <n v="52"/>
  </r>
  <r>
    <n v="162"/>
    <n v="48"/>
    <n v="31"/>
    <n v="113"/>
    <n v="153"/>
    <x v="2"/>
    <n v="53"/>
  </r>
  <r>
    <n v="163"/>
    <n v="49"/>
    <n v="32"/>
    <n v="114"/>
    <n v="154"/>
    <x v="0"/>
    <n v="54"/>
  </r>
  <r>
    <n v="164"/>
    <n v="50"/>
    <n v="18"/>
    <n v="115"/>
    <n v="155"/>
    <x v="1"/>
    <n v="55"/>
  </r>
  <r>
    <n v="165"/>
    <n v="51"/>
    <n v="19"/>
    <n v="116"/>
    <n v="156"/>
    <x v="2"/>
    <n v="56"/>
  </r>
  <r>
    <n v="166"/>
    <n v="52"/>
    <n v="20"/>
    <n v="117"/>
    <n v="157"/>
    <x v="0"/>
    <n v="57"/>
  </r>
  <r>
    <n v="167"/>
    <n v="53"/>
    <n v="21"/>
    <n v="118"/>
    <n v="158"/>
    <x v="1"/>
    <n v="58"/>
  </r>
  <r>
    <n v="168"/>
    <n v="54"/>
    <n v="22"/>
    <n v="119"/>
    <n v="159"/>
    <x v="2"/>
    <n v="59"/>
  </r>
  <r>
    <n v="169"/>
    <n v="55"/>
    <n v="23"/>
    <n v="120"/>
    <n v="160"/>
    <x v="0"/>
    <n v="60"/>
  </r>
  <r>
    <n v="170"/>
    <n v="56"/>
    <n v="24"/>
    <n v="121"/>
    <n v="161"/>
    <x v="1"/>
    <n v="61"/>
  </r>
  <r>
    <n v="171"/>
    <n v="57"/>
    <n v="25"/>
    <n v="122"/>
    <n v="162"/>
    <x v="2"/>
    <n v="62"/>
  </r>
  <r>
    <n v="172"/>
    <n v="58"/>
    <n v="26"/>
    <n v="123"/>
    <n v="163"/>
    <x v="0"/>
    <n v="63"/>
  </r>
  <r>
    <n v="173"/>
    <n v="59"/>
    <n v="27"/>
    <n v="124"/>
    <n v="164"/>
    <x v="1"/>
    <n v="64"/>
  </r>
  <r>
    <n v="174"/>
    <n v="60"/>
    <n v="28"/>
    <n v="125"/>
    <n v="165"/>
    <x v="2"/>
    <n v="65"/>
  </r>
  <r>
    <n v="175"/>
    <n v="61"/>
    <n v="29"/>
    <n v="126"/>
    <n v="166"/>
    <x v="0"/>
    <n v="66"/>
  </r>
  <r>
    <n v="176"/>
    <n v="62"/>
    <n v="30"/>
    <n v="127"/>
    <n v="167"/>
    <x v="1"/>
    <n v="67"/>
  </r>
  <r>
    <n v="177"/>
    <n v="63"/>
    <n v="31"/>
    <n v="128"/>
    <n v="168"/>
    <x v="2"/>
    <n v="68"/>
  </r>
  <r>
    <n v="178"/>
    <n v="64"/>
    <n v="32"/>
    <n v="129"/>
    <n v="169"/>
    <x v="0"/>
    <n v="69"/>
  </r>
  <r>
    <n v="179"/>
    <n v="20"/>
    <n v="18"/>
    <n v="130"/>
    <n v="170"/>
    <x v="1"/>
    <n v="70"/>
  </r>
  <r>
    <n v="180"/>
    <n v="21"/>
    <n v="19"/>
    <n v="131"/>
    <n v="171"/>
    <x v="2"/>
    <n v="71"/>
  </r>
  <r>
    <n v="181"/>
    <n v="22"/>
    <n v="20"/>
    <n v="132"/>
    <n v="172"/>
    <x v="0"/>
    <n v="72"/>
  </r>
  <r>
    <n v="182"/>
    <n v="23"/>
    <n v="21"/>
    <n v="133"/>
    <n v="173"/>
    <x v="1"/>
    <n v="73"/>
  </r>
  <r>
    <n v="183"/>
    <n v="24"/>
    <n v="22"/>
    <n v="134"/>
    <n v="174"/>
    <x v="2"/>
    <n v="74"/>
  </r>
  <r>
    <n v="184"/>
    <n v="25"/>
    <n v="23"/>
    <n v="135"/>
    <n v="175"/>
    <x v="0"/>
    <n v="75"/>
  </r>
  <r>
    <n v="185"/>
    <n v="26"/>
    <n v="24"/>
    <n v="136"/>
    <n v="176"/>
    <x v="1"/>
    <n v="76"/>
  </r>
  <r>
    <n v="186"/>
    <n v="27"/>
    <n v="25"/>
    <n v="137"/>
    <n v="177"/>
    <x v="2"/>
    <n v="77"/>
  </r>
  <r>
    <n v="187"/>
    <n v="28"/>
    <n v="26"/>
    <n v="138"/>
    <n v="178"/>
    <x v="0"/>
    <n v="78"/>
  </r>
  <r>
    <n v="188"/>
    <n v="29"/>
    <n v="27"/>
    <n v="139"/>
    <n v="179"/>
    <x v="1"/>
    <n v="79"/>
  </r>
  <r>
    <n v="189"/>
    <n v="30"/>
    <n v="28"/>
    <n v="140"/>
    <n v="180"/>
    <x v="2"/>
    <n v="80"/>
  </r>
  <r>
    <n v="190"/>
    <n v="31"/>
    <n v="29"/>
    <n v="141"/>
    <n v="181"/>
    <x v="0"/>
    <n v="81"/>
  </r>
  <r>
    <n v="191"/>
    <n v="32"/>
    <n v="30"/>
    <n v="142"/>
    <n v="182"/>
    <x v="1"/>
    <n v="82"/>
  </r>
  <r>
    <n v="192"/>
    <n v="33"/>
    <n v="31"/>
    <n v="143"/>
    <n v="183"/>
    <x v="2"/>
    <n v="83"/>
  </r>
  <r>
    <n v="193"/>
    <n v="34"/>
    <n v="32"/>
    <n v="144"/>
    <n v="184"/>
    <x v="0"/>
    <n v="84"/>
  </r>
  <r>
    <n v="194"/>
    <n v="35"/>
    <n v="18"/>
    <n v="145"/>
    <n v="185"/>
    <x v="1"/>
    <n v="85"/>
  </r>
  <r>
    <n v="195"/>
    <n v="36"/>
    <n v="19"/>
    <n v="146"/>
    <n v="186"/>
    <x v="2"/>
    <n v="86"/>
  </r>
  <r>
    <n v="196"/>
    <n v="37"/>
    <n v="20"/>
    <n v="147"/>
    <n v="187"/>
    <x v="0"/>
    <n v="87"/>
  </r>
  <r>
    <n v="197"/>
    <n v="38"/>
    <n v="21"/>
    <n v="148"/>
    <n v="188"/>
    <x v="1"/>
    <n v="88"/>
  </r>
  <r>
    <n v="198"/>
    <n v="39"/>
    <n v="22"/>
    <n v="149"/>
    <n v="189"/>
    <x v="2"/>
    <n v="89"/>
  </r>
  <r>
    <n v="199"/>
    <n v="40"/>
    <n v="23"/>
    <n v="100"/>
    <n v="190"/>
    <x v="0"/>
    <n v="50"/>
  </r>
  <r>
    <n v="200"/>
    <n v="41"/>
    <n v="24"/>
    <n v="101"/>
    <n v="191"/>
    <x v="1"/>
    <n v="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55FCEA-8E5A-4350-9914-AA026EE2580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G5" firstHeaderRow="0" firstDataRow="1" firstDataCol="1"/>
  <pivotFields count="7">
    <pivotField dataField="1" showAll="0"/>
    <pivotField dataField="1" showAll="0"/>
    <pivotField dataField="1" showAll="0">
      <items count="16">
        <item h="1" x="13"/>
        <item h="1" x="14"/>
        <item h="1" x="0"/>
        <item h="1" x="1"/>
        <item h="1" x="2"/>
        <item h="1" x="3"/>
        <item h="1" x="4"/>
        <item x="5"/>
        <item h="1" x="6"/>
        <item h="1" x="7"/>
        <item h="1" x="8"/>
        <item h="1" x="9"/>
        <item h="1" x="10"/>
        <item h="1" x="11"/>
        <item h="1" x="12"/>
        <item t="default"/>
      </items>
    </pivotField>
    <pivotField dataField="1" showAll="0">
      <items count="51">
        <item h="1" x="48"/>
        <item h="1" x="4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dataField="1" showAll="0"/>
    <pivotField axis="axisRow" showAll="0">
      <items count="4">
        <item x="1"/>
        <item x="2"/>
        <item x="0"/>
        <item t="default"/>
      </items>
    </pivotField>
    <pivotField dataField="1" showAll="0"/>
  </pivotFields>
  <rowFields count="1">
    <field x="5"/>
  </rowFields>
  <rowItems count="2">
    <i>
      <x v="1"/>
    </i>
    <i t="grand">
      <x/>
    </i>
  </rowItems>
  <colFields count="1">
    <field x="-2"/>
  </colFields>
  <colItems count="6">
    <i>
      <x/>
    </i>
    <i i="1">
      <x v="1"/>
    </i>
    <i i="2">
      <x v="2"/>
    </i>
    <i i="3">
      <x v="3"/>
    </i>
    <i i="4">
      <x v="4"/>
    </i>
    <i i="5">
      <x v="5"/>
    </i>
  </colItems>
  <dataFields count="6">
    <dataField name="Count of Patient_ID" fld="0" subtotal="count" baseField="0" baseItem="0"/>
    <dataField name="Sum of BMI" fld="2" baseField="0" baseItem="0"/>
    <dataField name="Sum of Age" fld="1" baseField="0" baseItem="0"/>
    <dataField name="Sum of Blood_Pressure" fld="3" baseField="0" baseItem="0"/>
    <dataField name="Sum of Cholesterol" fld="4" baseField="0" baseItem="0"/>
    <dataField name="Sum of Recovery_Score" fld="6"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8FE767-E6F8-4838-A189-4D17674F2195}"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E5" firstHeaderRow="0" firstDataRow="1" firstDataCol="1"/>
  <pivotFields count="7">
    <pivotField showAll="0"/>
    <pivotField dataField="1" showAll="0"/>
    <pivotField dataField="1" showAll="0">
      <items count="16">
        <item x="13"/>
        <item x="14"/>
        <item x="0"/>
        <item x="1"/>
        <item x="2"/>
        <item x="3"/>
        <item x="4"/>
        <item x="5"/>
        <item x="6"/>
        <item x="7"/>
        <item x="8"/>
        <item x="9"/>
        <item x="10"/>
        <item x="11"/>
        <item x="12"/>
        <item t="default"/>
      </items>
    </pivotField>
    <pivotField dataField="1" showAll="0">
      <items count="51">
        <item h="1" x="48"/>
        <item h="1" x="4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dataField="1" showAll="0">
      <items count="81">
        <item x="78"/>
        <item x="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axis="axisRow" showAll="0">
      <items count="4">
        <item x="1"/>
        <item x="2"/>
        <item x="0"/>
        <item t="default"/>
      </items>
    </pivotField>
    <pivotField showAll="0"/>
  </pivotFields>
  <rowFields count="1">
    <field x="5"/>
  </rowFields>
  <rowItems count="4">
    <i>
      <x/>
    </i>
    <i>
      <x v="1"/>
    </i>
    <i>
      <x v="2"/>
    </i>
    <i t="grand">
      <x/>
    </i>
  </rowItems>
  <colFields count="1">
    <field x="-2"/>
  </colFields>
  <colItems count="4">
    <i>
      <x/>
    </i>
    <i i="1">
      <x v="1"/>
    </i>
    <i i="2">
      <x v="2"/>
    </i>
    <i i="3">
      <x v="3"/>
    </i>
  </colItems>
  <dataFields count="4">
    <dataField name="Sum of Age" fld="1" baseField="0" baseItem="0"/>
    <dataField name="Sum of BMI" fld="2" baseField="0" baseItem="0"/>
    <dataField name="Sum of Blood_Pressure" fld="3" baseField="0" baseItem="0"/>
    <dataField name="Sum of Cholesterol" fld="4"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11" format="16" series="1">
      <pivotArea type="data" outline="0" fieldPosition="0">
        <references count="1">
          <reference field="4294967294" count="1" selected="0">
            <x v="0"/>
          </reference>
        </references>
      </pivotArea>
    </chartFormat>
    <chartFormat chart="11" format="17" series="1">
      <pivotArea type="data" outline="0" fieldPosition="0">
        <references count="1">
          <reference field="4294967294" count="1" selected="0">
            <x v="1"/>
          </reference>
        </references>
      </pivotArea>
    </chartFormat>
    <chartFormat chart="11" format="18" series="1">
      <pivotArea type="data" outline="0" fieldPosition="0">
        <references count="1">
          <reference field="4294967294" count="1" selected="0">
            <x v="2"/>
          </reference>
        </references>
      </pivotArea>
    </chartFormat>
    <chartFormat chart="11" format="19"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83023C-0EFD-4C9F-9FC1-4D1D72FB6EB1}"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A1:E5" firstHeaderRow="0" firstDataRow="1" firstDataCol="1"/>
  <pivotFields count="7">
    <pivotField showAll="0"/>
    <pivotField showAll="0">
      <items count="46">
        <item x="43"/>
        <item x="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dataField="1" showAll="0">
      <items count="16">
        <item h="1" x="13"/>
        <item h="1" x="14"/>
        <item h="1" x="0"/>
        <item h="1" x="1"/>
        <item h="1" x="2"/>
        <item h="1" x="3"/>
        <item h="1" x="4"/>
        <item x="5"/>
        <item h="1" x="6"/>
        <item h="1" x="7"/>
        <item h="1" x="8"/>
        <item h="1" x="9"/>
        <item h="1" x="10"/>
        <item h="1" x="11"/>
        <item h="1" x="12"/>
        <item t="default"/>
      </items>
    </pivotField>
    <pivotField dataField="1" showAll="0">
      <items count="51">
        <item x="48"/>
        <item x="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showAll="0"/>
    <pivotField axis="axisRow" showAll="0">
      <items count="4">
        <item x="1"/>
        <item x="2"/>
        <item x="0"/>
        <item t="default"/>
      </items>
    </pivotField>
    <pivotField dataField="1" showAll="0">
      <items count="41">
        <item h="1" x="38"/>
        <item h="1" x="3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t="default"/>
      </items>
    </pivotField>
  </pivotFields>
  <rowFields count="1">
    <field x="5"/>
  </rowFields>
  <rowItems count="4">
    <i>
      <x/>
    </i>
    <i>
      <x v="1"/>
    </i>
    <i>
      <x v="2"/>
    </i>
    <i t="grand">
      <x/>
    </i>
  </rowItems>
  <colFields count="1">
    <field x="-2"/>
  </colFields>
  <colItems count="4">
    <i>
      <x/>
    </i>
    <i i="1">
      <x v="1"/>
    </i>
    <i i="2">
      <x v="2"/>
    </i>
    <i i="3">
      <x v="3"/>
    </i>
  </colItems>
  <dataFields count="4">
    <dataField name="Sum of Blood_Pressure" fld="3" baseField="0" baseItem="0"/>
    <dataField name="Sum of Recovery_Score" fld="6" baseField="0" baseItem="0"/>
    <dataField name="Sum of BMI" fld="2" baseField="0" baseItem="0"/>
    <dataField name="Sum of Cholesterol" fld="4" baseField="0" baseItem="0"/>
  </dataFields>
  <chartFormats count="4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1"/>
          </reference>
          <reference field="5" count="1" selected="0">
            <x v="0"/>
          </reference>
        </references>
      </pivotArea>
    </chartFormat>
    <chartFormat chart="0" format="6">
      <pivotArea type="data" outline="0" fieldPosition="0">
        <references count="2">
          <reference field="4294967294" count="1" selected="0">
            <x v="1"/>
          </reference>
          <reference field="5" count="1" selected="0">
            <x v="1"/>
          </reference>
        </references>
      </pivotArea>
    </chartFormat>
    <chartFormat chart="0" format="7">
      <pivotArea type="data" outline="0" fieldPosition="0">
        <references count="2">
          <reference field="4294967294" count="1" selected="0">
            <x v="1"/>
          </reference>
          <reference field="5" count="1" selected="0">
            <x v="2"/>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5" count="1" selected="0">
            <x v="0"/>
          </reference>
        </references>
      </pivotArea>
    </chartFormat>
    <chartFormat chart="5" format="18">
      <pivotArea type="data" outline="0" fieldPosition="0">
        <references count="2">
          <reference field="4294967294" count="1" selected="0">
            <x v="0"/>
          </reference>
          <reference field="5" count="1" selected="0">
            <x v="1"/>
          </reference>
        </references>
      </pivotArea>
    </chartFormat>
    <chartFormat chart="5" format="19">
      <pivotArea type="data" outline="0" fieldPosition="0">
        <references count="2">
          <reference field="4294967294" count="1" selected="0">
            <x v="0"/>
          </reference>
          <reference field="5" count="1" selected="0">
            <x v="2"/>
          </reference>
        </references>
      </pivotArea>
    </chartFormat>
    <chartFormat chart="5" format="20" series="1">
      <pivotArea type="data" outline="0" fieldPosition="0">
        <references count="1">
          <reference field="4294967294" count="1" selected="0">
            <x v="1"/>
          </reference>
        </references>
      </pivotArea>
    </chartFormat>
    <chartFormat chart="5" format="21">
      <pivotArea type="data" outline="0" fieldPosition="0">
        <references count="2">
          <reference field="4294967294" count="1" selected="0">
            <x v="1"/>
          </reference>
          <reference field="5" count="1" selected="0">
            <x v="0"/>
          </reference>
        </references>
      </pivotArea>
    </chartFormat>
    <chartFormat chart="5" format="22">
      <pivotArea type="data" outline="0" fieldPosition="0">
        <references count="2">
          <reference field="4294967294" count="1" selected="0">
            <x v="1"/>
          </reference>
          <reference field="5" count="1" selected="0">
            <x v="1"/>
          </reference>
        </references>
      </pivotArea>
    </chartFormat>
    <chartFormat chart="5" format="23">
      <pivotArea type="data" outline="0" fieldPosition="0">
        <references count="2">
          <reference field="4294967294" count="1" selected="0">
            <x v="1"/>
          </reference>
          <reference field="5" count="1" selected="0">
            <x v="2"/>
          </reference>
        </references>
      </pivotArea>
    </chartFormat>
    <chartFormat chart="0" format="8">
      <pivotArea type="data" outline="0" fieldPosition="0">
        <references count="1">
          <reference field="4294967294" count="1" selected="0">
            <x v="0"/>
          </reference>
        </references>
      </pivotArea>
    </chartFormat>
    <chartFormat chart="0" format="9">
      <pivotArea type="data" outline="0" fieldPosition="0">
        <references count="1">
          <reference field="4294967294" count="1" selected="0">
            <x v="1"/>
          </reference>
        </references>
      </pivotArea>
    </chartFormat>
    <chartFormat chart="5" format="24" series="1">
      <pivotArea type="data" outline="0" fieldPosition="0">
        <references count="1">
          <reference field="4294967294" count="1" selected="0">
            <x v="2"/>
          </reference>
        </references>
      </pivotArea>
    </chartFormat>
    <chartFormat chart="0" format="10" series="1">
      <pivotArea type="data" outline="0" fieldPosition="0">
        <references count="1">
          <reference field="4294967294" count="1" selected="0">
            <x v="2"/>
          </reference>
        </references>
      </pivotArea>
    </chartFormat>
    <chartFormat chart="5" format="25" series="1">
      <pivotArea type="data" outline="0" fieldPosition="0">
        <references count="1">
          <reference field="4294967294" count="1" selected="0">
            <x v="3"/>
          </reference>
        </references>
      </pivotArea>
    </chartFormat>
    <chartFormat chart="0" format="11" series="1">
      <pivotArea type="data" outline="0" fieldPosition="0">
        <references count="1">
          <reference field="4294967294" count="1" selected="0">
            <x v="3"/>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2"/>
          </reference>
        </references>
      </pivotArea>
    </chartFormat>
    <chartFormat chart="14" format="3" series="1">
      <pivotArea type="data" outline="0" fieldPosition="0">
        <references count="1">
          <reference field="4294967294" count="1" selected="0">
            <x v="3"/>
          </reference>
        </references>
      </pivotArea>
    </chartFormat>
    <chartFormat chart="22" format="8" series="1">
      <pivotArea type="data" outline="0" fieldPosition="0">
        <references count="1">
          <reference field="4294967294" count="1" selected="0">
            <x v="0"/>
          </reference>
        </references>
      </pivotArea>
    </chartFormat>
    <chartFormat chart="22" format="9" series="1">
      <pivotArea type="data" outline="0" fieldPosition="0">
        <references count="1">
          <reference field="4294967294" count="1" selected="0">
            <x v="1"/>
          </reference>
        </references>
      </pivotArea>
    </chartFormat>
    <chartFormat chart="22" format="10" series="1">
      <pivotArea type="data" outline="0" fieldPosition="0">
        <references count="1">
          <reference field="4294967294" count="1" selected="0">
            <x v="2"/>
          </reference>
        </references>
      </pivotArea>
    </chartFormat>
    <chartFormat chart="22" format="11" series="1">
      <pivotArea type="data" outline="0" fieldPosition="0">
        <references count="1">
          <reference field="4294967294" count="1" selected="0">
            <x v="3"/>
          </reference>
        </references>
      </pivotArea>
    </chartFormat>
    <chartFormat chart="5" format="26">
      <pivotArea type="data" outline="0" fieldPosition="0">
        <references count="2">
          <reference field="4294967294" count="1" selected="0">
            <x v="2"/>
          </reference>
          <reference field="5" count="1" selected="0">
            <x v="0"/>
          </reference>
        </references>
      </pivotArea>
    </chartFormat>
    <chartFormat chart="5" format="27">
      <pivotArea type="data" outline="0" fieldPosition="0">
        <references count="2">
          <reference field="4294967294" count="1" selected="0">
            <x v="2"/>
          </reference>
          <reference field="5" count="1" selected="0">
            <x v="1"/>
          </reference>
        </references>
      </pivotArea>
    </chartFormat>
    <chartFormat chart="5" format="28">
      <pivotArea type="data" outline="0" fieldPosition="0">
        <references count="2">
          <reference field="4294967294" count="1" selected="0">
            <x v="2"/>
          </reference>
          <reference field="5" count="1" selected="0">
            <x v="2"/>
          </reference>
        </references>
      </pivotArea>
    </chartFormat>
    <chartFormat chart="5" format="29">
      <pivotArea type="data" outline="0" fieldPosition="0">
        <references count="2">
          <reference field="4294967294" count="1" selected="0">
            <x v="3"/>
          </reference>
          <reference field="5" count="1" selected="0">
            <x v="0"/>
          </reference>
        </references>
      </pivotArea>
    </chartFormat>
    <chartFormat chart="5" format="30">
      <pivotArea type="data" outline="0" fieldPosition="0">
        <references count="2">
          <reference field="4294967294" count="1" selected="0">
            <x v="3"/>
          </reference>
          <reference field="5" count="1" selected="0">
            <x v="1"/>
          </reference>
        </references>
      </pivotArea>
    </chartFormat>
    <chartFormat chart="5" format="31">
      <pivotArea type="data" outline="0" fieldPosition="0">
        <references count="2">
          <reference field="4294967294" count="1" selected="0">
            <x v="3"/>
          </reference>
          <reference field="5" count="1" selected="0">
            <x v="2"/>
          </reference>
        </references>
      </pivotArea>
    </chartFormat>
    <chartFormat chart="0" format="18">
      <pivotArea type="data" outline="0" fieldPosition="0">
        <references count="2">
          <reference field="4294967294" count="1" selected="0">
            <x v="2"/>
          </reference>
          <reference field="5" count="1" selected="0">
            <x v="0"/>
          </reference>
        </references>
      </pivotArea>
    </chartFormat>
    <chartFormat chart="0" format="19">
      <pivotArea type="data" outline="0" fieldPosition="0">
        <references count="2">
          <reference field="4294967294" count="1" selected="0">
            <x v="2"/>
          </reference>
          <reference field="5" count="1" selected="0">
            <x v="1"/>
          </reference>
        </references>
      </pivotArea>
    </chartFormat>
    <chartFormat chart="0" format="20">
      <pivotArea type="data" outline="0" fieldPosition="0">
        <references count="2">
          <reference field="4294967294" count="1" selected="0">
            <x v="2"/>
          </reference>
          <reference field="5" count="1" selected="0">
            <x v="2"/>
          </reference>
        </references>
      </pivotArea>
    </chartFormat>
    <chartFormat chart="0" format="21">
      <pivotArea type="data" outline="0" fieldPosition="0">
        <references count="2">
          <reference field="4294967294" count="1" selected="0">
            <x v="3"/>
          </reference>
          <reference field="5" count="1" selected="0">
            <x v="0"/>
          </reference>
        </references>
      </pivotArea>
    </chartFormat>
    <chartFormat chart="0" format="22">
      <pivotArea type="data" outline="0" fieldPosition="0">
        <references count="2">
          <reference field="4294967294" count="1" selected="0">
            <x v="3"/>
          </reference>
          <reference field="5" count="1" selected="0">
            <x v="1"/>
          </reference>
        </references>
      </pivotArea>
    </chartFormat>
    <chartFormat chart="0" format="23">
      <pivotArea type="data" outline="0" fieldPosition="0">
        <references count="2">
          <reference field="4294967294" count="1" selected="0">
            <x v="3"/>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5C52E5-B7DB-468B-80B3-5A07B003DBF2}"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C7" firstHeaderRow="0" firstDataRow="1" firstDataCol="1"/>
  <pivotFields count="7">
    <pivotField showAll="0"/>
    <pivotField dataField="1" showAll="0"/>
    <pivotField dataField="1" showAll="0">
      <items count="16">
        <item x="13"/>
        <item x="14"/>
        <item x="0"/>
        <item x="1"/>
        <item x="2"/>
        <item x="3"/>
        <item x="4"/>
        <item x="5"/>
        <item x="6"/>
        <item x="7"/>
        <item x="8"/>
        <item x="9"/>
        <item x="10"/>
        <item x="11"/>
        <item x="12"/>
        <item t="default"/>
      </items>
    </pivotField>
    <pivotField showAll="0"/>
    <pivotField showAll="0"/>
    <pivotField axis="axisRow" showAll="0">
      <items count="4">
        <item x="1"/>
        <item x="2"/>
        <item x="0"/>
        <item t="default"/>
      </items>
    </pivotField>
    <pivotField showAll="0"/>
  </pivotFields>
  <rowFields count="1">
    <field x="5"/>
  </rowFields>
  <rowItems count="4">
    <i>
      <x/>
    </i>
    <i>
      <x v="1"/>
    </i>
    <i>
      <x v="2"/>
    </i>
    <i t="grand">
      <x/>
    </i>
  </rowItems>
  <colFields count="1">
    <field x="-2"/>
  </colFields>
  <colItems count="2">
    <i>
      <x/>
    </i>
    <i i="1">
      <x v="1"/>
    </i>
  </colItems>
  <dataFields count="2">
    <dataField name="Sum of Age" fld="1" baseField="0" baseItem="0"/>
    <dataField name="Sum of BMI" fld="2" baseField="0" baseItem="0"/>
  </dataFields>
  <chartFormats count="1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5" count="1" selected="0">
            <x v="0"/>
          </reference>
        </references>
      </pivotArea>
    </chartFormat>
    <chartFormat chart="10" format="12">
      <pivotArea type="data" outline="0" fieldPosition="0">
        <references count="2">
          <reference field="4294967294" count="1" selected="0">
            <x v="0"/>
          </reference>
          <reference field="5" count="1" selected="0">
            <x v="1"/>
          </reference>
        </references>
      </pivotArea>
    </chartFormat>
    <chartFormat chart="10" format="13">
      <pivotArea type="data" outline="0" fieldPosition="0">
        <references count="2">
          <reference field="4294967294" count="1" selected="0">
            <x v="0"/>
          </reference>
          <reference field="5" count="1" selected="0">
            <x v="2"/>
          </reference>
        </references>
      </pivotArea>
    </chartFormat>
    <chartFormat chart="10" format="14" series="1">
      <pivotArea type="data" outline="0" fieldPosition="0">
        <references count="1">
          <reference field="4294967294" count="1" selected="0">
            <x v="1"/>
          </reference>
        </references>
      </pivotArea>
    </chartFormat>
    <chartFormat chart="10" format="15">
      <pivotArea type="data" outline="0" fieldPosition="0">
        <references count="2">
          <reference field="4294967294" count="1" selected="0">
            <x v="1"/>
          </reference>
          <reference field="5" count="1" selected="0">
            <x v="0"/>
          </reference>
        </references>
      </pivotArea>
    </chartFormat>
    <chartFormat chart="10" format="16">
      <pivotArea type="data" outline="0" fieldPosition="0">
        <references count="2">
          <reference field="4294967294" count="1" selected="0">
            <x v="1"/>
          </reference>
          <reference field="5" count="1" selected="0">
            <x v="1"/>
          </reference>
        </references>
      </pivotArea>
    </chartFormat>
    <chartFormat chart="10" format="17">
      <pivotArea type="data" outline="0" fieldPosition="0">
        <references count="2">
          <reference field="4294967294" count="1" selected="0">
            <x v="1"/>
          </reference>
          <reference field="5" count="1" selected="0">
            <x v="2"/>
          </reference>
        </references>
      </pivotArea>
    </chartFormat>
    <chartFormat chart="2" format="8">
      <pivotArea type="data" outline="0" fieldPosition="0">
        <references count="2">
          <reference field="4294967294" count="1" selected="0">
            <x v="0"/>
          </reference>
          <reference field="5" count="1" selected="0">
            <x v="0"/>
          </reference>
        </references>
      </pivotArea>
    </chartFormat>
    <chartFormat chart="2" format="9">
      <pivotArea type="data" outline="0" fieldPosition="0">
        <references count="2">
          <reference field="4294967294" count="1" selected="0">
            <x v="0"/>
          </reference>
          <reference field="5" count="1" selected="0">
            <x v="1"/>
          </reference>
        </references>
      </pivotArea>
    </chartFormat>
    <chartFormat chart="2" format="10">
      <pivotArea type="data" outline="0" fieldPosition="0">
        <references count="2">
          <reference field="4294967294" count="1" selected="0">
            <x v="0"/>
          </reference>
          <reference field="5" count="1" selected="0">
            <x v="2"/>
          </reference>
        </references>
      </pivotArea>
    </chartFormat>
    <chartFormat chart="2" format="11">
      <pivotArea type="data" outline="0" fieldPosition="0">
        <references count="2">
          <reference field="4294967294" count="1" selected="0">
            <x v="1"/>
          </reference>
          <reference field="5" count="1" selected="0">
            <x v="0"/>
          </reference>
        </references>
      </pivotArea>
    </chartFormat>
    <chartFormat chart="2" format="12">
      <pivotArea type="data" outline="0" fieldPosition="0">
        <references count="2">
          <reference field="4294967294" count="1" selected="0">
            <x v="1"/>
          </reference>
          <reference field="5" count="1" selected="0">
            <x v="1"/>
          </reference>
        </references>
      </pivotArea>
    </chartFormat>
    <chartFormat chart="2" format="13">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841498-4946-486D-9959-30EF9F3F4B29}"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D7" firstHeaderRow="0" firstDataRow="1" firstDataCol="1"/>
  <pivotFields count="7">
    <pivotField showAll="0"/>
    <pivotField showAll="0"/>
    <pivotField showAll="0"/>
    <pivotField dataField="1" showAll="0"/>
    <pivotField dataField="1" showAll="0"/>
    <pivotField axis="axisRow" showAll="0">
      <items count="4">
        <item x="1"/>
        <item x="2"/>
        <item x="0"/>
        <item t="default"/>
      </items>
    </pivotField>
    <pivotField dataField="1" showAll="0"/>
  </pivotFields>
  <rowFields count="1">
    <field x="5"/>
  </rowFields>
  <rowItems count="4">
    <i>
      <x/>
    </i>
    <i>
      <x v="1"/>
    </i>
    <i>
      <x v="2"/>
    </i>
    <i t="grand">
      <x/>
    </i>
  </rowItems>
  <colFields count="1">
    <field x="-2"/>
  </colFields>
  <colItems count="3">
    <i>
      <x/>
    </i>
    <i i="1">
      <x v="1"/>
    </i>
    <i i="2">
      <x v="2"/>
    </i>
  </colItems>
  <dataFields count="3">
    <dataField name="Sum of Blood_Pressure" fld="3" baseField="0" baseItem="0"/>
    <dataField name="Sum of Cholesterol" fld="4" baseField="0" baseItem="0"/>
    <dataField name="Sum of Recovery_Score" fld="6"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0"/>
          </reference>
        </references>
      </pivotArea>
    </chartFormat>
    <chartFormat chart="3" format="16">
      <pivotArea type="data" outline="0" fieldPosition="0">
        <references count="2">
          <reference field="4294967294" count="1" selected="0">
            <x v="0"/>
          </reference>
          <reference field="5" count="1" selected="0">
            <x v="0"/>
          </reference>
        </references>
      </pivotArea>
    </chartFormat>
    <chartFormat chart="3" format="17">
      <pivotArea type="data" outline="0" fieldPosition="0">
        <references count="2">
          <reference field="4294967294" count="1" selected="0">
            <x v="0"/>
          </reference>
          <reference field="5" count="1" selected="0">
            <x v="1"/>
          </reference>
        </references>
      </pivotArea>
    </chartFormat>
    <chartFormat chart="3" format="18">
      <pivotArea type="data" outline="0" fieldPosition="0">
        <references count="2">
          <reference field="4294967294" count="1" selected="0">
            <x v="0"/>
          </reference>
          <reference field="5" count="1" selected="0">
            <x v="2"/>
          </reference>
        </references>
      </pivotArea>
    </chartFormat>
    <chartFormat chart="3" format="19" series="1">
      <pivotArea type="data" outline="0" fieldPosition="0">
        <references count="1">
          <reference field="4294967294" count="1" selected="0">
            <x v="1"/>
          </reference>
        </references>
      </pivotArea>
    </chartFormat>
    <chartFormat chart="3" format="20">
      <pivotArea type="data" outline="0" fieldPosition="0">
        <references count="2">
          <reference field="4294967294" count="1" selected="0">
            <x v="1"/>
          </reference>
          <reference field="5" count="1" selected="0">
            <x v="0"/>
          </reference>
        </references>
      </pivotArea>
    </chartFormat>
    <chartFormat chart="3" format="21">
      <pivotArea type="data" outline="0" fieldPosition="0">
        <references count="2">
          <reference field="4294967294" count="1" selected="0">
            <x v="1"/>
          </reference>
          <reference field="5" count="1" selected="0">
            <x v="1"/>
          </reference>
        </references>
      </pivotArea>
    </chartFormat>
    <chartFormat chart="3" format="22">
      <pivotArea type="data" outline="0" fieldPosition="0">
        <references count="2">
          <reference field="4294967294" count="1" selected="0">
            <x v="1"/>
          </reference>
          <reference field="5" count="1" selected="0">
            <x v="2"/>
          </reference>
        </references>
      </pivotArea>
    </chartFormat>
    <chartFormat chart="3" format="23" series="1">
      <pivotArea type="data" outline="0" fieldPosition="0">
        <references count="1">
          <reference field="4294967294" count="1" selected="0">
            <x v="2"/>
          </reference>
        </references>
      </pivotArea>
    </chartFormat>
    <chartFormat chart="3" format="24">
      <pivotArea type="data" outline="0" fieldPosition="0">
        <references count="2">
          <reference field="4294967294" count="1" selected="0">
            <x v="2"/>
          </reference>
          <reference field="5" count="1" selected="0">
            <x v="0"/>
          </reference>
        </references>
      </pivotArea>
    </chartFormat>
    <chartFormat chart="3" format="25">
      <pivotArea type="data" outline="0" fieldPosition="0">
        <references count="2">
          <reference field="4294967294" count="1" selected="0">
            <x v="2"/>
          </reference>
          <reference field="5" count="1" selected="0">
            <x v="1"/>
          </reference>
        </references>
      </pivotArea>
    </chartFormat>
    <chartFormat chart="3" format="26">
      <pivotArea type="data" outline="0" fieldPosition="0">
        <references count="2">
          <reference field="4294967294" count="1" selected="0">
            <x v="2"/>
          </reference>
          <reference field="5" count="1" selected="0">
            <x v="2"/>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Pressure" xr10:uid="{B12339B5-DB03-42EA-B48D-551B21D0C662}" sourceName="Blood_Pressure">
  <pivotTables>
    <pivotTable tabId="4" name="PivotTable5"/>
  </pivotTables>
  <data>
    <tabular pivotCacheId="276633248">
      <items count="50">
        <i x="48"/>
        <i x="49"/>
        <i x="0" s="1"/>
        <i x="1"/>
        <i x="2"/>
        <i x="3"/>
        <i x="4"/>
        <i x="5"/>
        <i x="6"/>
        <i x="7"/>
        <i x="8"/>
        <i x="9"/>
        <i x="10"/>
        <i x="11"/>
        <i x="12"/>
        <i x="13"/>
        <i x="14"/>
        <i x="15"/>
        <i x="16"/>
        <i x="17"/>
        <i x="18"/>
        <i x="19"/>
        <i x="20"/>
        <i x="21"/>
        <i x="22"/>
        <i x="23"/>
        <i x="24"/>
        <i x="25"/>
        <i x="26"/>
        <i x="27"/>
        <i x="28"/>
        <i x="29"/>
        <i x="30"/>
        <i x="31"/>
        <i x="32"/>
        <i x="33"/>
        <i x="34"/>
        <i x="35"/>
        <i x="36"/>
        <i x="37"/>
        <i x="38"/>
        <i x="39"/>
        <i x="40"/>
        <i x="41"/>
        <i x="42"/>
        <i x="43"/>
        <i x="44"/>
        <i x="45"/>
        <i x="46"/>
        <i x="47"/>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 xr10:uid="{338B3F4F-9386-4263-9DE4-469946639ABF}" sourceName="BMI">
  <pivotTables>
    <pivotTable tabId="4" name="PivotTable5"/>
  </pivotTables>
  <data>
    <tabular pivotCacheId="276633248">
      <items count="15">
        <i x="0" s="1"/>
        <i x="5" s="1"/>
        <i x="10" s="1"/>
        <i x="13" s="1" nd="1"/>
        <i x="14" s="1" nd="1"/>
        <i x="1" s="1" nd="1"/>
        <i x="2" s="1" nd="1"/>
        <i x="3" s="1" nd="1"/>
        <i x="4" s="1" nd="1"/>
        <i x="6" s="1" nd="1"/>
        <i x="7" s="1" nd="1"/>
        <i x="8" s="1" nd="1"/>
        <i x="9" s="1" nd="1"/>
        <i x="11" s="1" nd="1"/>
        <i x="1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covery_Score" xr10:uid="{E40B76B2-3597-4E62-86CA-A96E4878DFED}" sourceName="Recovery_Score">
  <pivotTables>
    <pivotTable tabId="5" name="PivotTable7"/>
  </pivotTables>
  <data>
    <tabular pivotCacheId="1808090930">
      <items count="40">
        <i x="38"/>
        <i x="39"/>
        <i x="0" s="1"/>
        <i x="1"/>
        <i x="2"/>
        <i x="3"/>
        <i x="4"/>
        <i x="5"/>
        <i x="6"/>
        <i x="7"/>
        <i x="8"/>
        <i x="9"/>
        <i x="10"/>
        <i x="11"/>
        <i x="12"/>
        <i x="13"/>
        <i x="14"/>
        <i x="15"/>
        <i x="16"/>
        <i x="17"/>
        <i x="18"/>
        <i x="19"/>
        <i x="20"/>
        <i x="21"/>
        <i x="22"/>
        <i x="23"/>
        <i x="24"/>
        <i x="25"/>
        <i x="26"/>
        <i x="27"/>
        <i x="28"/>
        <i x="29"/>
        <i x="30"/>
        <i x="31"/>
        <i x="32"/>
        <i x="33"/>
        <i x="34"/>
        <i x="35"/>
        <i x="36"/>
        <i x="37"/>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1" xr10:uid="{F8B34A8C-382F-4873-9191-BFB8844E6D10}" sourceName="BMI">
  <pivotTables>
    <pivotTable tabId="3" name="PivotTable3"/>
  </pivotTables>
  <data>
    <tabular pivotCacheId="1487497825">
      <items count="15">
        <i x="0"/>
        <i x="5" s="1"/>
        <i x="10"/>
        <i x="13" nd="1"/>
        <i x="14" nd="1"/>
        <i x="1" nd="1"/>
        <i x="2" nd="1"/>
        <i x="3" nd="1"/>
        <i x="4" nd="1"/>
        <i x="6" nd="1"/>
        <i x="7" nd="1"/>
        <i x="8" nd="1"/>
        <i x="9" nd="1"/>
        <i x="11" nd="1"/>
        <i x="12"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Pressure1" xr10:uid="{1FA4F89D-FC4F-43E6-8462-68950B224DE7}" sourceName="Blood_Pressure">
  <pivotTables>
    <pivotTable tabId="3" name="PivotTable3"/>
  </pivotTables>
  <data>
    <tabular pivotCacheId="1487497825">
      <items count="50">
        <i x="0" s="1"/>
        <i x="5"/>
        <i x="10"/>
        <i x="15"/>
        <i x="20"/>
        <i x="25"/>
        <i x="30"/>
        <i x="35"/>
        <i x="40"/>
        <i x="45"/>
        <i x="48" nd="1"/>
        <i x="49" nd="1"/>
        <i x="1" nd="1"/>
        <i x="2" nd="1"/>
        <i x="3" nd="1"/>
        <i x="4" nd="1"/>
        <i x="6" nd="1"/>
        <i x="7" nd="1"/>
        <i x="8" nd="1"/>
        <i x="9" nd="1"/>
        <i x="11" nd="1"/>
        <i x="12" nd="1"/>
        <i x="13" nd="1"/>
        <i x="14" nd="1"/>
        <i x="16" nd="1"/>
        <i x="17" nd="1"/>
        <i x="18" nd="1"/>
        <i x="19" nd="1"/>
        <i x="21" nd="1"/>
        <i x="22" nd="1"/>
        <i x="23" nd="1"/>
        <i x="24" nd="1"/>
        <i x="26" nd="1"/>
        <i x="27" nd="1"/>
        <i x="28" nd="1"/>
        <i x="29" nd="1"/>
        <i x="31" nd="1"/>
        <i x="32" nd="1"/>
        <i x="33" nd="1"/>
        <i x="34" nd="1"/>
        <i x="36" nd="1"/>
        <i x="37" nd="1"/>
        <i x="38" nd="1"/>
        <i x="39" nd="1"/>
        <i x="41" nd="1"/>
        <i x="42" nd="1"/>
        <i x="43" nd="1"/>
        <i x="44" nd="1"/>
        <i x="46" nd="1"/>
        <i x="47"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3D75B15B-0779-4B6F-8584-2943BBB4C02B}" sourceName="Age">
  <pivotTables>
    <pivotTable tabId="5" name="PivotTable7"/>
  </pivotTables>
  <data>
    <tabular pivotCacheId="1808090930">
      <items count="45">
        <i x="0" s="1"/>
        <i x="25" s="1"/>
        <i x="30" s="1"/>
        <i x="35" s="1"/>
        <i x="40" s="1"/>
        <i x="43" s="1" nd="1"/>
        <i x="44"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6" s="1" nd="1"/>
        <i x="27" s="1" nd="1"/>
        <i x="28" s="1" nd="1"/>
        <i x="29" s="1" nd="1"/>
        <i x="31" s="1" nd="1"/>
        <i x="32" s="1" nd="1"/>
        <i x="33" s="1" nd="1"/>
        <i x="34" s="1" nd="1"/>
        <i x="36" s="1" nd="1"/>
        <i x="37" s="1" nd="1"/>
        <i x="38" s="1" nd="1"/>
        <i x="39" s="1" nd="1"/>
        <i x="41" s="1" nd="1"/>
        <i x="42"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Pressure2" xr10:uid="{BBEE6FC8-FB90-421F-BE51-A53DDDA6C10E}" sourceName="Blood_Pressure">
  <pivotTables>
    <pivotTable tabId="5" name="PivotTable7"/>
  </pivotTables>
  <data>
    <tabular pivotCacheId="1808090930">
      <items count="50">
        <i x="0" s="1"/>
        <i x="10" s="1"/>
        <i x="20" s="1"/>
        <i x="30" s="1"/>
        <i x="40" s="1"/>
        <i x="48" s="1" nd="1"/>
        <i x="49" s="1" nd="1"/>
        <i x="1" s="1" nd="1"/>
        <i x="2" s="1" nd="1"/>
        <i x="3" s="1" nd="1"/>
        <i x="4" s="1" nd="1"/>
        <i x="5" s="1" nd="1"/>
        <i x="6" s="1" nd="1"/>
        <i x="7" s="1" nd="1"/>
        <i x="8" s="1" nd="1"/>
        <i x="9" s="1" nd="1"/>
        <i x="11" s="1" nd="1"/>
        <i x="12" s="1" nd="1"/>
        <i x="13" s="1" nd="1"/>
        <i x="14" s="1" nd="1"/>
        <i x="15" s="1" nd="1"/>
        <i x="16" s="1" nd="1"/>
        <i x="17" s="1" nd="1"/>
        <i x="18" s="1" nd="1"/>
        <i x="19" s="1" nd="1"/>
        <i x="21" s="1" nd="1"/>
        <i x="22" s="1" nd="1"/>
        <i x="23" s="1" nd="1"/>
        <i x="24" s="1" nd="1"/>
        <i x="25" s="1" nd="1"/>
        <i x="26" s="1" nd="1"/>
        <i x="27" s="1" nd="1"/>
        <i x="28" s="1" nd="1"/>
        <i x="29" s="1" nd="1"/>
        <i x="31" s="1" nd="1"/>
        <i x="32" s="1" nd="1"/>
        <i x="33" s="1" nd="1"/>
        <i x="34" s="1" nd="1"/>
        <i x="35" s="1" nd="1"/>
        <i x="36" s="1" nd="1"/>
        <i x="37" s="1" nd="1"/>
        <i x="38" s="1" nd="1"/>
        <i x="39" s="1" nd="1"/>
        <i x="41" s="1" nd="1"/>
        <i x="42" s="1" nd="1"/>
        <i x="43" s="1" nd="1"/>
        <i x="44" s="1" nd="1"/>
        <i x="45" s="1" nd="1"/>
        <i x="46" s="1" nd="1"/>
        <i x="47"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olesterol" xr10:uid="{D9486020-28C2-44C9-BDF0-9175F8B12F4B}" sourceName="Cholesterol">
  <pivotTables>
    <pivotTable tabId="4" name="PivotTable5"/>
  </pivotTables>
  <data>
    <tabular pivotCacheId="276633248">
      <items count="80">
        <i x="0" s="1"/>
        <i x="20" s="1"/>
        <i x="50" s="1"/>
        <i x="70" s="1"/>
        <i x="78" s="1" nd="1"/>
        <i x="79" s="1" nd="1"/>
        <i x="1" s="1" nd="1"/>
        <i x="2" s="1" nd="1"/>
        <i x="3" s="1" nd="1"/>
        <i x="4" s="1" nd="1"/>
        <i x="5" s="1" nd="1"/>
        <i x="6" s="1" nd="1"/>
        <i x="7" s="1" nd="1"/>
        <i x="8" s="1" nd="1"/>
        <i x="9" s="1" nd="1"/>
        <i x="10" s="1" nd="1"/>
        <i x="11" s="1" nd="1"/>
        <i x="12" s="1" nd="1"/>
        <i x="13" s="1" nd="1"/>
        <i x="14" s="1" nd="1"/>
        <i x="15" s="1" nd="1"/>
        <i x="16" s="1" nd="1"/>
        <i x="17" s="1" nd="1"/>
        <i x="18" s="1" nd="1"/>
        <i x="19"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6" s="1" nd="1"/>
        <i x="47" s="1" nd="1"/>
        <i x="48" s="1" nd="1"/>
        <i x="49" s="1" nd="1"/>
        <i x="51" s="1" nd="1"/>
        <i x="52" s="1" nd="1"/>
        <i x="53" s="1" nd="1"/>
        <i x="54" s="1" nd="1"/>
        <i x="55" s="1" nd="1"/>
        <i x="56" s="1" nd="1"/>
        <i x="57" s="1" nd="1"/>
        <i x="58" s="1" nd="1"/>
        <i x="59" s="1" nd="1"/>
        <i x="60" s="1" nd="1"/>
        <i x="61" s="1" nd="1"/>
        <i x="62" s="1" nd="1"/>
        <i x="63" s="1" nd="1"/>
        <i x="64" s="1" nd="1"/>
        <i x="65" s="1" nd="1"/>
        <i x="66" s="1" nd="1"/>
        <i x="67" s="1" nd="1"/>
        <i x="68" s="1" nd="1"/>
        <i x="69" s="1" nd="1"/>
        <i x="71" s="1" nd="1"/>
        <i x="72" s="1" nd="1"/>
        <i x="73" s="1" nd="1"/>
        <i x="74" s="1" nd="1"/>
        <i x="75" s="1" nd="1"/>
        <i x="76" s="1" nd="1"/>
        <i x="77"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2" xr10:uid="{11136462-56A0-4CE6-BCB7-844B2E5DBCC5}" sourceName="BMI">
  <pivotTables>
    <pivotTable tabId="7" name="PivotTable3"/>
  </pivotTables>
  <data>
    <tabular pivotCacheId="1381441508">
      <items count="15">
        <i x="13" s="1"/>
        <i x="14" s="1"/>
        <i x="0" s="1"/>
        <i x="1" s="1"/>
        <i x="2" s="1"/>
        <i x="3" s="1"/>
        <i x="4" s="1"/>
        <i x="5" s="1"/>
        <i x="6" s="1"/>
        <i x="7" s="1"/>
        <i x="8" s="1"/>
        <i x="9" s="1"/>
        <i x="10" s="1"/>
        <i x="11"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MI 1" xr10:uid="{370E1E2D-B782-46D1-AB45-10564B0CB5B9}" cache="Slicer_BMI1" caption="BMI" rowHeight="241300"/>
  <slicer name="Blood_Pressure 1" xr10:uid="{C2208F7D-6C13-419B-8D50-5E9410FE20F6}" cache="Slicer_Blood_Pressure1" caption="Blood_Pressur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E01C9F57-87D7-4550-A662-EF9045A837BC}" cache="Slicer_Age" caption="Age" startItem="25" rowHeight="234950"/>
  <slicer name="Blood_Pressure 2" xr10:uid="{BB677FB6-2E1B-450A-ADBC-A16870B6A23E}" cache="Slicer_Blood_Pressure2" caption="Blood_Pressure" startItem="3" rowHeight="234950"/>
  <slicer name="Cholesterol" xr10:uid="{2D0D4FB7-F6E9-4C47-9333-C39C59192F0C}" cache="Slicer_Cholesterol" caption="Cholesterol" startItem="75" rowHeight="234950"/>
  <slicer name="BMI 2" xr10:uid="{5F82837E-8890-4597-BCE4-B808E159FF98}" cache="Slicer_BMI2" caption="BMI" startItem="9"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lood_Pressure" xr10:uid="{A54F01C4-DCAD-4C92-A76E-9A4605BD7728}" cache="Slicer_Blood_Pressure" caption="Blood_Pressure" rowHeight="241300"/>
  <slicer name="BMI" xr10:uid="{532A12A8-D50D-4926-AC27-3E8DA3C935E5}" cache="Slicer_BMI" caption="BMI"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covery_Score" xr10:uid="{64EE266B-6EBC-4A73-B756-BB02FC04CFC2}" cache="Slicer_Recovery_Score" caption="Recovery_Scor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76902-98FE-4C1C-8C15-B47B0346987B}">
  <dimension ref="A1:B18"/>
  <sheetViews>
    <sheetView workbookViewId="0">
      <selection sqref="A1:B18"/>
    </sheetView>
  </sheetViews>
  <sheetFormatPr defaultRowHeight="14.4" x14ac:dyDescent="0.3"/>
  <sheetData>
    <row r="1" spans="1:2" x14ac:dyDescent="0.3">
      <c r="A1" s="14" t="s">
        <v>85</v>
      </c>
      <c r="B1" s="14"/>
    </row>
    <row r="3" spans="1:2" x14ac:dyDescent="0.3">
      <c r="A3" t="s">
        <v>86</v>
      </c>
      <c r="B3">
        <v>31</v>
      </c>
    </row>
    <row r="4" spans="1:2" x14ac:dyDescent="0.3">
      <c r="A4" t="s">
        <v>64</v>
      </c>
      <c r="B4">
        <v>1.2909944487358054</v>
      </c>
    </row>
    <row r="5" spans="1:2" x14ac:dyDescent="0.3">
      <c r="A5" t="s">
        <v>87</v>
      </c>
      <c r="B5">
        <v>31</v>
      </c>
    </row>
    <row r="6" spans="1:2" x14ac:dyDescent="0.3">
      <c r="A6" t="s">
        <v>88</v>
      </c>
      <c r="B6" t="e">
        <v>#N/A</v>
      </c>
    </row>
    <row r="7" spans="1:2" x14ac:dyDescent="0.3">
      <c r="A7" t="s">
        <v>89</v>
      </c>
      <c r="B7">
        <v>5.6273143387113773</v>
      </c>
    </row>
    <row r="8" spans="1:2" x14ac:dyDescent="0.3">
      <c r="A8" t="s">
        <v>90</v>
      </c>
      <c r="B8">
        <v>31.666666666666668</v>
      </c>
    </row>
    <row r="9" spans="1:2" x14ac:dyDescent="0.3">
      <c r="A9" t="s">
        <v>91</v>
      </c>
      <c r="B9">
        <v>-1.1999999999999993</v>
      </c>
    </row>
    <row r="10" spans="1:2" x14ac:dyDescent="0.3">
      <c r="A10" t="s">
        <v>92</v>
      </c>
      <c r="B10">
        <v>0</v>
      </c>
    </row>
    <row r="11" spans="1:2" x14ac:dyDescent="0.3">
      <c r="A11" t="s">
        <v>93</v>
      </c>
      <c r="B11">
        <v>18</v>
      </c>
    </row>
    <row r="12" spans="1:2" x14ac:dyDescent="0.3">
      <c r="A12" t="s">
        <v>94</v>
      </c>
      <c r="B12">
        <v>22</v>
      </c>
    </row>
    <row r="13" spans="1:2" x14ac:dyDescent="0.3">
      <c r="A13" t="s">
        <v>95</v>
      </c>
      <c r="B13">
        <v>40</v>
      </c>
    </row>
    <row r="14" spans="1:2" x14ac:dyDescent="0.3">
      <c r="A14" t="s">
        <v>26</v>
      </c>
      <c r="B14">
        <v>589</v>
      </c>
    </row>
    <row r="15" spans="1:2" x14ac:dyDescent="0.3">
      <c r="A15" t="s">
        <v>25</v>
      </c>
      <c r="B15">
        <v>19</v>
      </c>
    </row>
    <row r="16" spans="1:2" x14ac:dyDescent="0.3">
      <c r="A16" t="s">
        <v>96</v>
      </c>
      <c r="B16">
        <v>40</v>
      </c>
    </row>
    <row r="17" spans="1:2" x14ac:dyDescent="0.3">
      <c r="A17" t="s">
        <v>97</v>
      </c>
      <c r="B17">
        <v>22</v>
      </c>
    </row>
    <row r="18" spans="1:2" ht="15" thickBot="1" x14ac:dyDescent="0.35">
      <c r="A18" s="13" t="s">
        <v>98</v>
      </c>
      <c r="B18" s="13">
        <v>2.712278691177882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DB0C3-FED9-4B3D-A163-49F5D09F40AA}">
  <dimension ref="A3:G5"/>
  <sheetViews>
    <sheetView workbookViewId="0">
      <selection activeCell="A3" sqref="A3"/>
    </sheetView>
  </sheetViews>
  <sheetFormatPr defaultRowHeight="14.4" x14ac:dyDescent="0.3"/>
  <cols>
    <col min="1" max="1" width="13.109375" bestFit="1" customWidth="1"/>
    <col min="2" max="2" width="18.5546875" bestFit="1" customWidth="1"/>
    <col min="3" max="3" width="11.109375" bestFit="1" customWidth="1"/>
    <col min="4" max="4" width="11" bestFit="1" customWidth="1"/>
    <col min="5" max="5" width="21.88671875" bestFit="1" customWidth="1"/>
    <col min="6" max="6" width="18.109375" bestFit="1" customWidth="1"/>
    <col min="7" max="7" width="22" bestFit="1" customWidth="1"/>
  </cols>
  <sheetData>
    <row r="3" spans="1:7" x14ac:dyDescent="0.3">
      <c r="A3" s="33" t="s">
        <v>113</v>
      </c>
      <c r="B3" t="s">
        <v>120</v>
      </c>
      <c r="C3" t="s">
        <v>116</v>
      </c>
      <c r="D3" t="s">
        <v>114</v>
      </c>
      <c r="E3" t="s">
        <v>117</v>
      </c>
      <c r="F3" t="s">
        <v>118</v>
      </c>
      <c r="G3" t="s">
        <v>119</v>
      </c>
    </row>
    <row r="4" spans="1:7" x14ac:dyDescent="0.3">
      <c r="A4" s="34" t="s">
        <v>9</v>
      </c>
      <c r="B4">
        <v>1</v>
      </c>
      <c r="C4">
        <v>25</v>
      </c>
      <c r="D4">
        <v>27</v>
      </c>
      <c r="E4">
        <v>102</v>
      </c>
      <c r="F4">
        <v>202</v>
      </c>
      <c r="G4">
        <v>62</v>
      </c>
    </row>
    <row r="5" spans="1:7" x14ac:dyDescent="0.3">
      <c r="A5" s="34" t="s">
        <v>115</v>
      </c>
      <c r="B5">
        <v>1</v>
      </c>
      <c r="C5">
        <v>25</v>
      </c>
      <c r="D5">
        <v>27</v>
      </c>
      <c r="E5">
        <v>102</v>
      </c>
      <c r="F5">
        <v>202</v>
      </c>
      <c r="G5">
        <v>62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5A7-B880-49CD-B345-72EBFAB59218}">
  <dimension ref="A1:AG119"/>
  <sheetViews>
    <sheetView showGridLines="0" tabSelected="1" zoomScale="65" zoomScaleNormal="65" workbookViewId="0">
      <selection activeCell="Y14" sqref="Y14"/>
    </sheetView>
  </sheetViews>
  <sheetFormatPr defaultRowHeight="14.4" x14ac:dyDescent="0.3"/>
  <cols>
    <col min="1" max="1" width="21.33203125" bestFit="1" customWidth="1"/>
    <col min="2" max="2" width="12.5546875" bestFit="1" customWidth="1"/>
    <col min="8" max="8" width="9.77734375" bestFit="1" customWidth="1"/>
    <col min="9" max="9" width="4.21875" bestFit="1" customWidth="1"/>
    <col min="10" max="10" width="4.44140625" bestFit="1" customWidth="1"/>
    <col min="11" max="11" width="13.5546875" customWidth="1"/>
    <col min="12" max="12" width="10.44140625" bestFit="1" customWidth="1"/>
    <col min="13" max="13" width="16.109375" bestFit="1" customWidth="1"/>
    <col min="14" max="14" width="14.5546875" bestFit="1" customWidth="1"/>
  </cols>
  <sheetData>
    <row r="1" spans="1:33" ht="15" customHeight="1" x14ac:dyDescent="0.75">
      <c r="A1" s="45" t="s">
        <v>123</v>
      </c>
      <c r="B1" s="45"/>
      <c r="C1" s="45"/>
      <c r="D1" s="45"/>
      <c r="E1" s="45"/>
      <c r="F1" s="45"/>
      <c r="G1" s="45"/>
      <c r="H1" s="45"/>
      <c r="I1" s="45"/>
      <c r="J1" s="37"/>
      <c r="K1" s="37"/>
      <c r="L1" s="38"/>
      <c r="M1" s="38"/>
      <c r="N1" s="38"/>
      <c r="O1" s="38"/>
      <c r="P1" s="38"/>
      <c r="Q1" s="38"/>
      <c r="R1" s="38"/>
      <c r="S1" s="38"/>
      <c r="T1" s="38"/>
      <c r="U1" s="38"/>
      <c r="V1" s="36"/>
      <c r="W1" s="36"/>
      <c r="X1" s="36"/>
      <c r="Y1" s="36"/>
      <c r="Z1" s="36"/>
      <c r="AA1" s="36"/>
      <c r="AB1" s="36"/>
      <c r="AC1" s="36"/>
      <c r="AD1" s="36"/>
      <c r="AE1" s="35"/>
      <c r="AF1" s="35"/>
      <c r="AG1" s="35"/>
    </row>
    <row r="2" spans="1:33" ht="15" customHeight="1" x14ac:dyDescent="0.75">
      <c r="A2" s="45"/>
      <c r="B2" s="45"/>
      <c r="C2" s="45"/>
      <c r="D2" s="45"/>
      <c r="E2" s="45"/>
      <c r="F2" s="45"/>
      <c r="G2" s="45"/>
      <c r="H2" s="45"/>
      <c r="I2" s="45"/>
      <c r="J2" s="37"/>
      <c r="K2" s="37"/>
      <c r="L2" s="38"/>
      <c r="M2" s="38"/>
      <c r="N2" s="38"/>
      <c r="O2" s="38"/>
      <c r="P2" s="38"/>
      <c r="Q2" s="38"/>
      <c r="R2" s="38"/>
      <c r="S2" s="38"/>
      <c r="T2" s="38"/>
      <c r="U2" s="38"/>
      <c r="V2" s="36"/>
      <c r="W2" s="36"/>
      <c r="X2" s="36"/>
      <c r="Y2" s="36"/>
      <c r="Z2" s="36"/>
      <c r="AA2" s="36"/>
      <c r="AB2" s="36"/>
      <c r="AC2" s="36"/>
      <c r="AD2" s="36"/>
      <c r="AE2" s="35"/>
      <c r="AF2" s="35"/>
      <c r="AG2" s="35"/>
    </row>
    <row r="3" spans="1:33" ht="15" customHeight="1" x14ac:dyDescent="0.75">
      <c r="A3" s="45"/>
      <c r="B3" s="45"/>
      <c r="C3" s="45"/>
      <c r="D3" s="45"/>
      <c r="E3" s="45"/>
      <c r="F3" s="45"/>
      <c r="G3" s="45"/>
      <c r="H3" s="45"/>
      <c r="I3" s="45"/>
      <c r="J3" s="37"/>
      <c r="K3" s="37"/>
      <c r="L3" s="38"/>
      <c r="M3" s="38"/>
      <c r="N3" s="38"/>
      <c r="O3" s="38"/>
      <c r="P3" s="38"/>
      <c r="Q3" s="38"/>
      <c r="R3" s="38"/>
      <c r="S3" s="38"/>
      <c r="T3" s="38"/>
      <c r="U3" s="38"/>
      <c r="V3" s="36"/>
      <c r="W3" s="36"/>
      <c r="X3" s="36"/>
      <c r="Y3" s="36"/>
      <c r="Z3" s="36"/>
      <c r="AA3" s="36"/>
      <c r="AB3" s="36"/>
      <c r="AC3" s="36"/>
      <c r="AD3" s="36"/>
      <c r="AE3" s="35"/>
      <c r="AF3" s="35"/>
      <c r="AG3" s="35"/>
    </row>
    <row r="4" spans="1:33" ht="14.4" customHeight="1" x14ac:dyDescent="0.3">
      <c r="A4" s="45"/>
      <c r="B4" s="45"/>
      <c r="C4" s="45"/>
      <c r="D4" s="45"/>
      <c r="E4" s="45"/>
      <c r="F4" s="45"/>
      <c r="G4" s="45"/>
      <c r="H4" s="45"/>
      <c r="I4" s="45"/>
      <c r="J4" s="38"/>
      <c r="K4" s="38"/>
      <c r="L4" s="38"/>
      <c r="M4" s="38"/>
      <c r="N4" s="38"/>
      <c r="O4" s="38"/>
      <c r="P4" s="38"/>
      <c r="Q4" s="38"/>
      <c r="R4" s="38"/>
      <c r="S4" s="38"/>
      <c r="T4" s="38"/>
      <c r="U4" s="38"/>
      <c r="V4" s="36"/>
      <c r="W4" s="36"/>
      <c r="X4" s="36"/>
      <c r="Y4" s="36"/>
      <c r="Z4" s="36"/>
      <c r="AA4" s="36"/>
      <c r="AB4" s="36"/>
      <c r="AC4" s="36"/>
      <c r="AD4" s="36"/>
      <c r="AE4" s="35"/>
      <c r="AF4" s="35"/>
      <c r="AG4" s="35"/>
    </row>
    <row r="5" spans="1:33" x14ac:dyDescent="0.3">
      <c r="A5" s="35"/>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row>
    <row r="6" spans="1:33" x14ac:dyDescent="0.3">
      <c r="A6" s="46"/>
      <c r="B6" s="47"/>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5"/>
      <c r="AF6" s="35"/>
      <c r="AG6" s="35"/>
    </row>
    <row r="7" spans="1:33" x14ac:dyDescent="0.3">
      <c r="A7" s="47"/>
      <c r="B7" s="47"/>
      <c r="C7" s="35"/>
      <c r="D7" s="35"/>
      <c r="E7" s="35"/>
      <c r="F7" s="35"/>
      <c r="G7" s="35"/>
      <c r="H7" s="35"/>
      <c r="I7" s="35"/>
      <c r="J7" s="35"/>
      <c r="K7" s="35"/>
      <c r="L7" s="35"/>
      <c r="M7" s="35"/>
      <c r="N7" s="35"/>
      <c r="O7" s="35"/>
      <c r="P7" s="35"/>
      <c r="Q7" s="35"/>
      <c r="R7" s="35"/>
      <c r="S7" s="35"/>
      <c r="T7" s="35"/>
      <c r="U7" s="35"/>
      <c r="V7" s="35"/>
      <c r="W7" s="35"/>
      <c r="X7" s="35"/>
      <c r="Y7" s="35"/>
      <c r="Z7" s="35"/>
      <c r="AA7" s="35"/>
      <c r="AB7" s="35"/>
      <c r="AC7" s="35"/>
      <c r="AD7" s="35"/>
      <c r="AE7" s="35"/>
      <c r="AF7" s="35"/>
      <c r="AG7" s="35"/>
    </row>
    <row r="8" spans="1:33" x14ac:dyDescent="0.3">
      <c r="A8" s="40"/>
      <c r="B8" s="40"/>
      <c r="C8" s="35"/>
      <c r="D8" s="35"/>
      <c r="E8" s="35"/>
      <c r="F8" s="35"/>
      <c r="G8" s="35"/>
      <c r="H8" s="35"/>
      <c r="I8" s="35"/>
      <c r="J8" s="35"/>
      <c r="K8" s="35"/>
      <c r="L8" s="35"/>
      <c r="M8" s="35"/>
      <c r="N8" s="35"/>
      <c r="O8" s="35"/>
      <c r="P8" s="35"/>
      <c r="Q8" s="35"/>
      <c r="R8" s="35"/>
      <c r="S8" s="35"/>
      <c r="T8" s="35"/>
      <c r="U8" s="35"/>
      <c r="V8" s="35"/>
      <c r="W8" s="35"/>
      <c r="X8" s="35"/>
      <c r="Y8" s="35"/>
      <c r="Z8" s="35"/>
      <c r="AA8" s="35"/>
      <c r="AB8" s="35"/>
      <c r="AC8" s="35"/>
      <c r="AD8" s="35"/>
      <c r="AE8" s="35"/>
      <c r="AF8" s="35"/>
      <c r="AG8" s="35"/>
    </row>
    <row r="9" spans="1:33" x14ac:dyDescent="0.3">
      <c r="A9" s="40"/>
      <c r="B9" s="40"/>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x14ac:dyDescent="0.3">
      <c r="A10" s="40"/>
      <c r="B10" s="40"/>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row>
    <row r="11" spans="1:33" x14ac:dyDescent="0.3">
      <c r="A11" s="40"/>
      <c r="B11" s="40"/>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5"/>
    </row>
    <row r="12" spans="1:33" x14ac:dyDescent="0.3">
      <c r="A12" s="40"/>
      <c r="B12" s="40"/>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c r="AE12" s="35"/>
      <c r="AF12" s="35"/>
      <c r="AG12" s="35"/>
    </row>
    <row r="13" spans="1:33" x14ac:dyDescent="0.3">
      <c r="A13" s="40"/>
      <c r="B13" s="40"/>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c r="AE13" s="35"/>
      <c r="AF13" s="35"/>
      <c r="AG13" s="35"/>
    </row>
    <row r="14" spans="1:33" x14ac:dyDescent="0.3">
      <c r="A14" s="40"/>
      <c r="B14" s="40"/>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x14ac:dyDescent="0.3">
      <c r="A15" s="40"/>
      <c r="B15" s="40"/>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x14ac:dyDescent="0.3">
      <c r="A16" s="40"/>
      <c r="B16" s="40"/>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x14ac:dyDescent="0.3">
      <c r="A17" s="40"/>
      <c r="B17" s="40"/>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c r="AE17" s="35"/>
      <c r="AF17" s="35"/>
      <c r="AG17" s="35"/>
    </row>
    <row r="18" spans="1:33" x14ac:dyDescent="0.3">
      <c r="A18" s="40"/>
      <c r="B18" s="40"/>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x14ac:dyDescent="0.3">
      <c r="A19" s="40"/>
      <c r="B19" s="40"/>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5"/>
    </row>
    <row r="20" spans="1:33" x14ac:dyDescent="0.3">
      <c r="A20" s="40"/>
      <c r="B20" s="40"/>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x14ac:dyDescent="0.3">
      <c r="A21" s="40"/>
      <c r="B21" s="40"/>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c r="AF21" s="35"/>
      <c r="AG21" s="35"/>
    </row>
    <row r="22" spans="1:33" x14ac:dyDescent="0.3">
      <c r="A22" s="40"/>
      <c r="B22" s="40"/>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c r="AE22" s="35"/>
      <c r="AF22" s="35"/>
      <c r="AG22" s="35"/>
    </row>
    <row r="23" spans="1:33" x14ac:dyDescent="0.3">
      <c r="A23" s="40"/>
      <c r="B23" s="40"/>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5"/>
    </row>
    <row r="24" spans="1:33" x14ac:dyDescent="0.3">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row>
    <row r="25" spans="1:33" ht="23.4" x14ac:dyDescent="0.45">
      <c r="A25" s="48"/>
      <c r="B25" s="49"/>
      <c r="C25" s="49"/>
      <c r="D25" s="49"/>
      <c r="E25" s="49"/>
      <c r="F25" s="49"/>
      <c r="G25" s="49"/>
      <c r="H25" s="35"/>
      <c r="I25" s="35"/>
      <c r="J25" s="35"/>
      <c r="K25" s="35"/>
      <c r="L25" s="35"/>
      <c r="M25" s="35"/>
      <c r="N25" s="35"/>
      <c r="O25" s="35"/>
      <c r="P25" s="35"/>
      <c r="Q25" s="35"/>
      <c r="R25" s="35"/>
      <c r="S25" s="35"/>
      <c r="T25" s="35"/>
      <c r="U25" s="35"/>
      <c r="V25" s="35"/>
      <c r="W25" s="35"/>
      <c r="X25" s="35"/>
      <c r="Y25" s="35"/>
      <c r="Z25" s="35"/>
      <c r="AA25" s="35"/>
      <c r="AB25" s="35"/>
      <c r="AC25" s="35"/>
      <c r="AD25" s="35"/>
      <c r="AE25" s="35"/>
      <c r="AF25" s="35"/>
      <c r="AG25" s="35"/>
    </row>
    <row r="26" spans="1:33" x14ac:dyDescent="0.3">
      <c r="A26" s="41"/>
      <c r="B26" s="41"/>
      <c r="C26" s="41"/>
      <c r="D26" s="41"/>
      <c r="E26" s="41"/>
      <c r="F26" s="41"/>
      <c r="G26" s="41"/>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x14ac:dyDescent="0.3">
      <c r="A27" s="44" t="s">
        <v>0</v>
      </c>
      <c r="B27" s="44" t="s">
        <v>1</v>
      </c>
      <c r="C27" s="44" t="s">
        <v>2</v>
      </c>
      <c r="D27" s="44" t="s">
        <v>126</v>
      </c>
      <c r="E27" s="44" t="s">
        <v>4</v>
      </c>
      <c r="F27" s="44" t="s">
        <v>125</v>
      </c>
      <c r="G27" s="44" t="s">
        <v>124</v>
      </c>
      <c r="H27" s="42"/>
      <c r="I27" s="42"/>
      <c r="J27" s="42"/>
      <c r="K27" s="42"/>
      <c r="L27" s="42"/>
      <c r="M27" s="42"/>
      <c r="N27" s="35"/>
      <c r="O27" s="35"/>
      <c r="P27" s="35"/>
      <c r="Q27" s="35"/>
      <c r="R27" s="35"/>
      <c r="S27" s="35"/>
      <c r="T27" s="35"/>
      <c r="U27" s="35"/>
      <c r="V27" s="35"/>
      <c r="W27" s="35"/>
      <c r="X27" s="35"/>
      <c r="Y27" s="35"/>
      <c r="Z27" s="35"/>
      <c r="AA27" s="35"/>
      <c r="AB27" s="35"/>
      <c r="AC27" s="35"/>
      <c r="AD27" s="35"/>
      <c r="AE27" s="35"/>
      <c r="AF27" s="35"/>
      <c r="AG27" s="35"/>
    </row>
    <row r="28" spans="1:33" x14ac:dyDescent="0.3">
      <c r="A28" s="43">
        <v>1</v>
      </c>
      <c r="B28" s="43">
        <v>24</v>
      </c>
      <c r="C28" s="43">
        <v>20</v>
      </c>
      <c r="D28" s="43">
        <v>102</v>
      </c>
      <c r="E28" s="43">
        <v>152</v>
      </c>
      <c r="F28" s="43" t="s">
        <v>7</v>
      </c>
      <c r="G28" s="43">
        <v>52</v>
      </c>
      <c r="H28" s="40"/>
      <c r="I28" s="40"/>
      <c r="J28" s="40"/>
      <c r="K28" s="40"/>
      <c r="L28" s="40"/>
      <c r="M28" s="40"/>
      <c r="N28" s="35"/>
      <c r="O28" s="35"/>
      <c r="P28" s="35"/>
      <c r="Q28" s="35"/>
      <c r="R28" s="35"/>
      <c r="S28" s="35"/>
      <c r="T28" s="35"/>
      <c r="U28" s="35"/>
      <c r="V28" s="35"/>
      <c r="W28" s="35"/>
      <c r="X28" s="35"/>
      <c r="Y28" s="35"/>
      <c r="Z28" s="35"/>
      <c r="AA28" s="35"/>
      <c r="AB28" s="35"/>
      <c r="AC28" s="35"/>
      <c r="AD28" s="35"/>
      <c r="AE28" s="35"/>
      <c r="AF28" s="35"/>
      <c r="AG28" s="35"/>
    </row>
    <row r="29" spans="1:33" x14ac:dyDescent="0.3">
      <c r="A29" s="43">
        <v>2</v>
      </c>
      <c r="B29" s="43">
        <v>23</v>
      </c>
      <c r="C29" s="43">
        <v>21</v>
      </c>
      <c r="D29" s="43">
        <v>103</v>
      </c>
      <c r="E29" s="43">
        <v>153</v>
      </c>
      <c r="F29" s="43" t="s">
        <v>8</v>
      </c>
      <c r="G29" s="43">
        <v>53</v>
      </c>
      <c r="H29" s="40"/>
      <c r="I29" s="40"/>
      <c r="J29" s="40"/>
      <c r="K29" s="40"/>
      <c r="L29" s="40"/>
      <c r="M29" s="40"/>
      <c r="N29" s="35"/>
      <c r="O29" s="35"/>
      <c r="P29" s="35"/>
      <c r="Q29" s="35"/>
      <c r="R29" s="35"/>
      <c r="S29" s="35"/>
      <c r="T29" s="35"/>
      <c r="U29" s="35"/>
      <c r="V29" s="35"/>
      <c r="W29" s="35"/>
      <c r="X29" s="35"/>
      <c r="Y29" s="35"/>
      <c r="Z29" s="35"/>
      <c r="AA29" s="35"/>
      <c r="AB29" s="35"/>
      <c r="AC29" s="35"/>
      <c r="AD29" s="35"/>
      <c r="AE29" s="35"/>
      <c r="AF29" s="35"/>
      <c r="AG29" s="35"/>
    </row>
    <row r="30" spans="1:33" x14ac:dyDescent="0.3">
      <c r="A30" s="43">
        <v>3</v>
      </c>
      <c r="B30" s="43">
        <v>24</v>
      </c>
      <c r="C30" s="43">
        <v>22</v>
      </c>
      <c r="D30" s="43">
        <v>104</v>
      </c>
      <c r="E30" s="43">
        <v>154</v>
      </c>
      <c r="F30" s="43" t="s">
        <v>9</v>
      </c>
      <c r="G30" s="43">
        <v>54</v>
      </c>
      <c r="H30" s="40"/>
      <c r="I30" s="40"/>
      <c r="J30" s="40"/>
      <c r="K30" s="40"/>
      <c r="L30" s="40"/>
      <c r="M30" s="40"/>
      <c r="N30" s="35"/>
      <c r="O30" s="35"/>
      <c r="P30" s="35"/>
      <c r="Q30" s="35"/>
      <c r="R30" s="35"/>
      <c r="S30" s="35"/>
      <c r="T30" s="35"/>
      <c r="U30" s="35"/>
      <c r="V30" s="35"/>
      <c r="W30" s="35"/>
      <c r="X30" s="35"/>
      <c r="Y30" s="35"/>
      <c r="Z30" s="35"/>
      <c r="AA30" s="35"/>
      <c r="AB30" s="35"/>
      <c r="AC30" s="35"/>
      <c r="AD30" s="35"/>
      <c r="AE30" s="35"/>
      <c r="AF30" s="35"/>
      <c r="AG30" s="35"/>
    </row>
    <row r="31" spans="1:33" x14ac:dyDescent="0.3">
      <c r="A31" s="43">
        <v>4</v>
      </c>
      <c r="B31" s="43">
        <v>25</v>
      </c>
      <c r="C31" s="43">
        <v>23</v>
      </c>
      <c r="D31" s="43">
        <v>105</v>
      </c>
      <c r="E31" s="43">
        <v>155</v>
      </c>
      <c r="F31" s="43" t="s">
        <v>7</v>
      </c>
      <c r="G31" s="43">
        <v>55</v>
      </c>
      <c r="H31" s="40"/>
      <c r="I31" s="40"/>
      <c r="J31" s="40"/>
      <c r="K31" s="40"/>
      <c r="L31" s="40"/>
      <c r="M31" s="40"/>
      <c r="N31" s="35"/>
      <c r="O31" s="35"/>
      <c r="P31" s="35"/>
      <c r="Q31" s="35"/>
      <c r="R31" s="35"/>
      <c r="S31" s="35"/>
      <c r="T31" s="35"/>
      <c r="U31" s="35"/>
      <c r="V31" s="35"/>
      <c r="W31" s="35"/>
      <c r="X31" s="35"/>
      <c r="Y31" s="35"/>
      <c r="Z31" s="35"/>
      <c r="AA31" s="35"/>
      <c r="AB31" s="35"/>
      <c r="AC31" s="35"/>
      <c r="AD31" s="35"/>
      <c r="AE31" s="35"/>
      <c r="AF31" s="35"/>
      <c r="AG31" s="35"/>
    </row>
    <row r="32" spans="1:33" x14ac:dyDescent="0.3">
      <c r="A32" s="43">
        <v>5</v>
      </c>
      <c r="B32" s="43">
        <v>26</v>
      </c>
      <c r="C32" s="43">
        <v>24</v>
      </c>
      <c r="D32" s="43">
        <v>106</v>
      </c>
      <c r="E32" s="43">
        <v>156</v>
      </c>
      <c r="F32" s="43" t="s">
        <v>8</v>
      </c>
      <c r="G32" s="43">
        <v>56</v>
      </c>
      <c r="H32" s="40"/>
      <c r="I32" s="40"/>
      <c r="J32" s="40"/>
      <c r="K32" s="40"/>
      <c r="L32" s="40"/>
      <c r="M32" s="40"/>
      <c r="N32" s="35"/>
      <c r="O32" s="35"/>
      <c r="P32" s="35"/>
      <c r="Q32" s="35"/>
      <c r="R32" s="35"/>
      <c r="S32" s="35"/>
      <c r="T32" s="35"/>
      <c r="U32" s="35"/>
      <c r="V32" s="35"/>
      <c r="W32" s="35"/>
      <c r="X32" s="35"/>
      <c r="Y32" s="35"/>
      <c r="Z32" s="35"/>
      <c r="AA32" s="35"/>
      <c r="AB32" s="35"/>
      <c r="AC32" s="35"/>
      <c r="AD32" s="35"/>
      <c r="AE32" s="35"/>
      <c r="AF32" s="35"/>
      <c r="AG32" s="35"/>
    </row>
    <row r="33" spans="1:33" x14ac:dyDescent="0.3">
      <c r="A33" s="43">
        <v>6</v>
      </c>
      <c r="B33" s="43">
        <v>27</v>
      </c>
      <c r="C33" s="43">
        <v>25</v>
      </c>
      <c r="D33" s="43">
        <v>107</v>
      </c>
      <c r="E33" s="43">
        <v>157</v>
      </c>
      <c r="F33" s="43" t="s">
        <v>9</v>
      </c>
      <c r="G33" s="43">
        <v>57</v>
      </c>
      <c r="H33" s="40"/>
      <c r="I33" s="40"/>
      <c r="J33" s="40"/>
      <c r="K33" s="40"/>
      <c r="L33" s="40"/>
      <c r="M33" s="40"/>
      <c r="N33" s="35"/>
      <c r="O33" s="35"/>
      <c r="P33" s="35"/>
      <c r="Q33" s="35"/>
      <c r="R33" s="35"/>
      <c r="S33" s="35"/>
      <c r="T33" s="35"/>
      <c r="U33" s="35"/>
      <c r="V33" s="35"/>
      <c r="W33" s="35"/>
      <c r="X33" s="35"/>
      <c r="Y33" s="35"/>
      <c r="Z33" s="35"/>
      <c r="AA33" s="35"/>
      <c r="AB33" s="35"/>
      <c r="AC33" s="35"/>
      <c r="AD33" s="35"/>
      <c r="AE33" s="35"/>
      <c r="AF33" s="35"/>
      <c r="AG33" s="35"/>
    </row>
    <row r="34" spans="1:33" x14ac:dyDescent="0.3">
      <c r="A34" s="43">
        <v>7</v>
      </c>
      <c r="B34" s="43">
        <v>28</v>
      </c>
      <c r="C34" s="43">
        <v>26</v>
      </c>
      <c r="D34" s="43">
        <v>108</v>
      </c>
      <c r="E34" s="43">
        <v>158</v>
      </c>
      <c r="F34" s="43" t="s">
        <v>7</v>
      </c>
      <c r="G34" s="43">
        <v>58</v>
      </c>
      <c r="H34" s="40"/>
      <c r="I34" s="40"/>
      <c r="J34" s="40"/>
      <c r="K34" s="40"/>
      <c r="L34" s="40"/>
      <c r="M34" s="40"/>
      <c r="N34" s="35"/>
      <c r="O34" s="35"/>
      <c r="P34" s="35"/>
      <c r="Q34" s="35"/>
      <c r="R34" s="35"/>
      <c r="S34" s="35"/>
      <c r="T34" s="35"/>
      <c r="U34" s="35"/>
      <c r="V34" s="35"/>
      <c r="W34" s="35"/>
      <c r="X34" s="35"/>
      <c r="Y34" s="35"/>
      <c r="Z34" s="35"/>
      <c r="AA34" s="35"/>
      <c r="AB34" s="35"/>
      <c r="AC34" s="35"/>
      <c r="AD34" s="35"/>
      <c r="AE34" s="35"/>
      <c r="AF34" s="35"/>
      <c r="AG34" s="35"/>
    </row>
    <row r="35" spans="1:33" x14ac:dyDescent="0.3">
      <c r="A35" s="39"/>
      <c r="B35" s="39"/>
      <c r="C35" s="39"/>
      <c r="D35" s="39"/>
      <c r="E35" s="39"/>
      <c r="F35" s="39"/>
      <c r="G35" s="39"/>
      <c r="H35" s="36"/>
      <c r="I35" s="36"/>
      <c r="J35" s="36"/>
      <c r="K35" s="36"/>
      <c r="L35" s="36"/>
      <c r="M35" s="36"/>
      <c r="N35" s="36"/>
      <c r="O35" s="36"/>
      <c r="P35" s="36"/>
      <c r="Q35" s="36"/>
      <c r="R35" s="36"/>
      <c r="S35" s="36"/>
      <c r="T35" s="36"/>
      <c r="U35" s="36"/>
      <c r="V35" s="36"/>
      <c r="W35" s="36"/>
      <c r="X35" s="36"/>
      <c r="Y35" s="36"/>
      <c r="Z35" s="36"/>
      <c r="AA35" s="35"/>
      <c r="AB35" s="35"/>
      <c r="AC35" s="35"/>
      <c r="AD35" s="35"/>
      <c r="AE35" s="35"/>
      <c r="AF35" s="35"/>
      <c r="AG35" s="35"/>
    </row>
    <row r="36" spans="1:33" x14ac:dyDescent="0.3">
      <c r="A36" s="39"/>
      <c r="B36" s="39"/>
      <c r="C36" s="39"/>
      <c r="D36" s="39"/>
      <c r="E36" s="39"/>
      <c r="F36" s="39"/>
      <c r="G36" s="39"/>
      <c r="H36" s="36"/>
      <c r="I36" s="36"/>
      <c r="J36" s="36"/>
      <c r="K36" s="36"/>
      <c r="L36" s="36"/>
      <c r="M36" s="36"/>
      <c r="N36" s="36"/>
      <c r="O36" s="36"/>
      <c r="P36" s="36"/>
      <c r="Q36" s="36"/>
      <c r="R36" s="36"/>
      <c r="S36" s="36"/>
      <c r="T36" s="36"/>
      <c r="U36" s="36"/>
      <c r="V36" s="36"/>
      <c r="W36" s="36"/>
      <c r="X36" s="36"/>
      <c r="Y36" s="36"/>
      <c r="Z36" s="36"/>
      <c r="AA36" s="35"/>
      <c r="AB36" s="35"/>
      <c r="AC36" s="35"/>
      <c r="AD36" s="35"/>
      <c r="AE36" s="35"/>
      <c r="AF36" s="35"/>
      <c r="AG36" s="35"/>
    </row>
    <row r="37" spans="1:33" x14ac:dyDescent="0.3">
      <c r="A37" s="36"/>
      <c r="B37" s="36"/>
      <c r="C37" s="36"/>
      <c r="D37" s="36"/>
      <c r="E37" s="36"/>
      <c r="F37" s="36"/>
      <c r="G37" s="36"/>
      <c r="H37" s="36"/>
      <c r="I37" s="36"/>
      <c r="J37" s="36"/>
      <c r="K37" s="36"/>
      <c r="L37" s="36"/>
      <c r="M37" s="36"/>
      <c r="N37" s="36"/>
      <c r="O37" s="36"/>
      <c r="P37" s="36"/>
      <c r="Q37" s="36"/>
      <c r="R37" s="36"/>
      <c r="S37" s="36"/>
      <c r="T37" s="36"/>
      <c r="U37" s="36"/>
      <c r="V37" s="36"/>
      <c r="W37" s="36"/>
      <c r="X37" s="36"/>
      <c r="Y37" s="36"/>
      <c r="Z37" s="36"/>
      <c r="AA37" s="35"/>
      <c r="AB37" s="35"/>
      <c r="AC37" s="35"/>
      <c r="AD37" s="35"/>
      <c r="AE37" s="35"/>
      <c r="AF37" s="35"/>
      <c r="AG37" s="35"/>
    </row>
    <row r="38" spans="1:33" x14ac:dyDescent="0.3">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5"/>
    </row>
    <row r="39" spans="1:33" x14ac:dyDescent="0.3">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c r="AE39" s="35"/>
      <c r="AF39" s="35"/>
      <c r="AG39" s="35"/>
    </row>
    <row r="40" spans="1:33" x14ac:dyDescent="0.3">
      <c r="A40" s="36"/>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5"/>
      <c r="AF40" s="35"/>
      <c r="AG40" s="35"/>
    </row>
    <row r="41" spans="1:33" x14ac:dyDescent="0.3">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c r="AE41" s="35"/>
      <c r="AF41" s="35"/>
      <c r="AG41" s="35"/>
    </row>
    <row r="42" spans="1:33" x14ac:dyDescent="0.3">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c r="AE42" s="35"/>
      <c r="AF42" s="35"/>
      <c r="AG42" s="35"/>
    </row>
    <row r="43" spans="1:33" x14ac:dyDescent="0.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c r="AE43" s="35"/>
      <c r="AF43" s="35"/>
      <c r="AG43" s="35"/>
    </row>
    <row r="44" spans="1:33" x14ac:dyDescent="0.3">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c r="AF44" s="35"/>
      <c r="AG44" s="35"/>
    </row>
    <row r="45" spans="1:33"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c r="AE46" s="35"/>
      <c r="AF46" s="35"/>
      <c r="AG46" s="35"/>
    </row>
    <row r="47" spans="1:33"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c r="AD49" s="35"/>
      <c r="AE49" s="35"/>
      <c r="AF49" s="35"/>
      <c r="AG49" s="35"/>
    </row>
    <row r="50" spans="1:33"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c r="AE50" s="35"/>
      <c r="AF50" s="35"/>
      <c r="AG50" s="35"/>
    </row>
    <row r="51" spans="1:33"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5"/>
    </row>
    <row r="52" spans="1:33"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5"/>
    </row>
    <row r="53" spans="1:33"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row>
    <row r="59" spans="1:33"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c r="AE59" s="35"/>
      <c r="AF59" s="35"/>
      <c r="AG59" s="35"/>
    </row>
    <row r="60" spans="1:33"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c r="AF60" s="35"/>
      <c r="AG60" s="35"/>
    </row>
    <row r="61" spans="1:33"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row>
    <row r="62" spans="1:33"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c r="AE62" s="35"/>
      <c r="AF62" s="35"/>
      <c r="AG62" s="35"/>
    </row>
    <row r="63" spans="1:33"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row>
    <row r="65" spans="1:33"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c r="AE65" s="35"/>
      <c r="AF65" s="35"/>
      <c r="AG65" s="35"/>
    </row>
    <row r="66" spans="1:33"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c r="AE66" s="35"/>
      <c r="AF66" s="35"/>
      <c r="AG66" s="35"/>
    </row>
    <row r="67" spans="1:33"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c r="AE67" s="35"/>
      <c r="AF67" s="35"/>
      <c r="AG67" s="35"/>
    </row>
    <row r="68" spans="1:33"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row>
    <row r="69" spans="1:33"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c r="AE69" s="35"/>
      <c r="AF69" s="35"/>
      <c r="AG69" s="35"/>
    </row>
    <row r="70" spans="1:33"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row>
    <row r="71" spans="1:33"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row>
    <row r="72" spans="1:33"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row>
    <row r="73" spans="1:33"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row>
    <row r="74" spans="1:33"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row>
    <row r="75" spans="1:33"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row>
    <row r="76" spans="1:33"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row>
    <row r="77" spans="1:33"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row>
    <row r="78" spans="1:33"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row>
    <row r="79" spans="1:33"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row>
    <row r="80" spans="1:33"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row>
    <row r="81" spans="1:33"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1:33"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1:33"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1:33"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1:33"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1:33"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1:33"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1:33"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1:33"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1:33"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1:33"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1:33"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1:33"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1:33"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1:33"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1:33"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1:33"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1:33"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1:33"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1:33"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1:33"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1:33"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1:33"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1:33"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1:33"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1:33"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1:33"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1:33"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1:33"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1:33"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c r="AF110" s="35"/>
      <c r="AG110" s="35"/>
    </row>
    <row r="111" spans="1:33"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c r="AF111" s="35"/>
      <c r="AG111" s="35"/>
    </row>
    <row r="112" spans="1:33"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c r="AF112" s="35"/>
      <c r="AG112" s="35"/>
    </row>
    <row r="113" spans="1:33"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c r="AF113" s="35"/>
      <c r="AG113" s="35"/>
    </row>
    <row r="114" spans="1:33"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c r="AF114" s="35"/>
      <c r="AG114" s="35"/>
    </row>
    <row r="115" spans="1:33"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c r="AF115" s="35"/>
      <c r="AG115" s="35"/>
    </row>
    <row r="116" spans="1:33"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c r="AF116" s="35"/>
      <c r="AG116" s="35"/>
    </row>
    <row r="117" spans="1:33"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c r="AF117" s="35"/>
      <c r="AG117" s="35"/>
    </row>
    <row r="118" spans="1:33"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c r="AF118" s="35"/>
      <c r="AG118" s="35"/>
    </row>
    <row r="119" spans="1:33"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c r="AF119" s="35"/>
      <c r="AG119" s="35"/>
    </row>
  </sheetData>
  <mergeCells count="3">
    <mergeCell ref="A1:I4"/>
    <mergeCell ref="A6:B7"/>
    <mergeCell ref="A25:G2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8492E-7211-404A-AC57-509F4D93150C}">
  <dimension ref="A1:E5"/>
  <sheetViews>
    <sheetView workbookViewId="0">
      <selection activeCell="D37" sqref="D37"/>
    </sheetView>
  </sheetViews>
  <sheetFormatPr defaultRowHeight="14.4" x14ac:dyDescent="0.3"/>
  <cols>
    <col min="1" max="1" width="12.5546875" bestFit="1" customWidth="1"/>
    <col min="2" max="2" width="10.6640625" bestFit="1" customWidth="1"/>
    <col min="3" max="3" width="10.88671875" bestFit="1" customWidth="1"/>
    <col min="4" max="4" width="20.6640625" bestFit="1" customWidth="1"/>
    <col min="5" max="5" width="17" bestFit="1" customWidth="1"/>
    <col min="6" max="6" width="22" bestFit="1" customWidth="1"/>
  </cols>
  <sheetData>
    <row r="1" spans="1:5" x14ac:dyDescent="0.3">
      <c r="A1" s="33" t="s">
        <v>113</v>
      </c>
      <c r="B1" t="s">
        <v>114</v>
      </c>
      <c r="C1" t="s">
        <v>116</v>
      </c>
      <c r="D1" t="s">
        <v>117</v>
      </c>
      <c r="E1" t="s">
        <v>118</v>
      </c>
    </row>
    <row r="2" spans="1:5" x14ac:dyDescent="0.3">
      <c r="A2" s="34" t="s">
        <v>8</v>
      </c>
      <c r="B2">
        <v>32</v>
      </c>
      <c r="C2">
        <v>30</v>
      </c>
      <c r="D2">
        <v>102</v>
      </c>
      <c r="E2">
        <v>172</v>
      </c>
    </row>
    <row r="3" spans="1:5" x14ac:dyDescent="0.3">
      <c r="A3" s="34" t="s">
        <v>9</v>
      </c>
      <c r="B3">
        <v>27</v>
      </c>
      <c r="C3">
        <v>25</v>
      </c>
      <c r="D3">
        <v>102</v>
      </c>
      <c r="E3">
        <v>202</v>
      </c>
    </row>
    <row r="4" spans="1:5" x14ac:dyDescent="0.3">
      <c r="A4" s="34" t="s">
        <v>7</v>
      </c>
      <c r="B4">
        <v>59</v>
      </c>
      <c r="C4">
        <v>40</v>
      </c>
      <c r="D4">
        <v>204</v>
      </c>
      <c r="E4">
        <v>374</v>
      </c>
    </row>
    <row r="5" spans="1:5" x14ac:dyDescent="0.3">
      <c r="A5" s="34" t="s">
        <v>115</v>
      </c>
      <c r="B5">
        <v>118</v>
      </c>
      <c r="C5">
        <v>95</v>
      </c>
      <c r="D5">
        <v>408</v>
      </c>
      <c r="E5">
        <v>748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C4F12-B361-4926-AB37-2CBFEEC3BA2C}">
  <dimension ref="A1:H16"/>
  <sheetViews>
    <sheetView workbookViewId="0">
      <selection activeCell="F5" sqref="F5"/>
    </sheetView>
  </sheetViews>
  <sheetFormatPr defaultRowHeight="14.4" x14ac:dyDescent="0.3"/>
  <cols>
    <col min="1" max="1" width="12.5546875" bestFit="1" customWidth="1"/>
    <col min="2" max="2" width="20.6640625" bestFit="1" customWidth="1"/>
    <col min="3" max="3" width="21.109375" bestFit="1" customWidth="1"/>
    <col min="4" max="4" width="10.88671875" bestFit="1" customWidth="1"/>
    <col min="5" max="5" width="17" bestFit="1" customWidth="1"/>
  </cols>
  <sheetData>
    <row r="1" spans="1:8" x14ac:dyDescent="0.3">
      <c r="A1" s="33" t="s">
        <v>113</v>
      </c>
      <c r="B1" t="s">
        <v>117</v>
      </c>
      <c r="C1" t="s">
        <v>119</v>
      </c>
      <c r="D1" t="s">
        <v>116</v>
      </c>
      <c r="E1" t="s">
        <v>118</v>
      </c>
    </row>
    <row r="2" spans="1:8" x14ac:dyDescent="0.3">
      <c r="A2" s="34" t="s">
        <v>8</v>
      </c>
      <c r="B2">
        <v>254</v>
      </c>
      <c r="C2">
        <v>104</v>
      </c>
      <c r="D2">
        <v>60</v>
      </c>
      <c r="E2">
        <v>344</v>
      </c>
    </row>
    <row r="3" spans="1:8" x14ac:dyDescent="0.3">
      <c r="A3" s="34" t="s">
        <v>9</v>
      </c>
      <c r="B3">
        <v>132</v>
      </c>
      <c r="C3">
        <v>52</v>
      </c>
      <c r="D3">
        <v>25</v>
      </c>
      <c r="E3">
        <v>152</v>
      </c>
    </row>
    <row r="4" spans="1:8" x14ac:dyDescent="0.3">
      <c r="A4" s="34" t="s">
        <v>7</v>
      </c>
      <c r="B4">
        <v>224</v>
      </c>
      <c r="C4">
        <v>104</v>
      </c>
      <c r="D4">
        <v>40</v>
      </c>
      <c r="E4">
        <v>344</v>
      </c>
    </row>
    <row r="5" spans="1:8" x14ac:dyDescent="0.3">
      <c r="A5" s="34" t="s">
        <v>115</v>
      </c>
      <c r="B5">
        <v>610</v>
      </c>
      <c r="C5">
        <v>260</v>
      </c>
      <c r="D5">
        <v>125</v>
      </c>
      <c r="E5">
        <v>840</v>
      </c>
    </row>
    <row r="10" spans="1:8" x14ac:dyDescent="0.3">
      <c r="H10" s="35"/>
    </row>
    <row r="11" spans="1:8" x14ac:dyDescent="0.3">
      <c r="H11" s="35"/>
    </row>
    <row r="12" spans="1:8" x14ac:dyDescent="0.3">
      <c r="H12" s="35"/>
    </row>
    <row r="13" spans="1:8" x14ac:dyDescent="0.3">
      <c r="H13" s="35"/>
    </row>
    <row r="14" spans="1:8" x14ac:dyDescent="0.3">
      <c r="H14" s="35"/>
    </row>
    <row r="15" spans="1:8" x14ac:dyDescent="0.3">
      <c r="H15" s="35"/>
    </row>
    <row r="16" spans="1:8" x14ac:dyDescent="0.3">
      <c r="H16" s="35"/>
    </row>
  </sheetData>
  <pageMargins left="0.7" right="0.7" top="0.75" bottom="0.75" header="0.3" footer="0.3"/>
  <drawing r:id="rId2"/>
  <extLst>
    <ext xmlns:x14="http://schemas.microsoft.com/office/spreadsheetml/2009/9/main" uri="{05C60535-1F16-4fd2-B633-F4F36F0B64E0}">
      <x14:sparklineGroups xmlns:xm="http://schemas.microsoft.com/office/excel/2006/main">
        <x14:sparklineGroup type="column" displayEmptyCellsAs="span" xr2:uid="{15E63A99-B24F-4A33-99FB-D0D4BD2719FE}">
          <x14:colorSeries rgb="FF376092"/>
          <x14:colorNegative rgb="FFD00000"/>
          <x14:colorAxis rgb="FF000000"/>
          <x14:colorMarkers rgb="FFD00000"/>
          <x14:colorFirst rgb="FFD00000"/>
          <x14:colorLast rgb="FFD00000"/>
          <x14:colorHigh rgb="FFD00000"/>
          <x14:colorLow rgb="FFD00000"/>
          <x14:sparklines>
            <x14:sparkline>
              <xm:f>Sheet5!G28:M28</xm:f>
              <xm:sqref>H10</xm:sqref>
            </x14:sparkline>
            <x14:sparkline>
              <xm:f>Sheet5!G29:M29</xm:f>
              <xm:sqref>H11</xm:sqref>
            </x14:sparkline>
            <x14:sparkline>
              <xm:f>Sheet5!G30:M30</xm:f>
              <xm:sqref>H12</xm:sqref>
            </x14:sparkline>
            <x14:sparkline>
              <xm:f>Sheet5!G31:M31</xm:f>
              <xm:sqref>H13</xm:sqref>
            </x14:sparkline>
            <x14:sparkline>
              <xm:f>Sheet5!G32:M32</xm:f>
              <xm:sqref>H14</xm:sqref>
            </x14:sparkline>
            <x14:sparkline>
              <xm:f>Sheet5!G33:M33</xm:f>
              <xm:sqref>H15</xm:sqref>
            </x14:sparkline>
            <x14:sparkline>
              <xm:f>Sheet5!G34:M34</xm:f>
              <xm:sqref>H16</xm:sqref>
            </x14:sparkline>
          </x14:sparklines>
        </x14:sparklineGroup>
      </x14:sparklineGroup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03E7F-E493-45D0-9158-EA150812DB2D}">
  <dimension ref="A3:C7"/>
  <sheetViews>
    <sheetView workbookViewId="0">
      <selection activeCell="K28" sqref="K28"/>
    </sheetView>
  </sheetViews>
  <sheetFormatPr defaultRowHeight="14.4" x14ac:dyDescent="0.3"/>
  <cols>
    <col min="1" max="1" width="12.5546875" bestFit="1" customWidth="1"/>
    <col min="2" max="2" width="10.6640625" bestFit="1" customWidth="1"/>
    <col min="3" max="3" width="10.88671875" bestFit="1" customWidth="1"/>
  </cols>
  <sheetData>
    <row r="3" spans="1:3" x14ac:dyDescent="0.3">
      <c r="A3" s="33" t="s">
        <v>113</v>
      </c>
      <c r="B3" t="s">
        <v>114</v>
      </c>
      <c r="C3" t="s">
        <v>116</v>
      </c>
    </row>
    <row r="4" spans="1:3" x14ac:dyDescent="0.3">
      <c r="A4" s="34" t="s">
        <v>8</v>
      </c>
      <c r="B4">
        <v>2684</v>
      </c>
      <c r="C4">
        <v>1605</v>
      </c>
    </row>
    <row r="5" spans="1:3" x14ac:dyDescent="0.3">
      <c r="A5" s="34" t="s">
        <v>9</v>
      </c>
      <c r="B5">
        <v>2709</v>
      </c>
      <c r="C5">
        <v>1647</v>
      </c>
    </row>
    <row r="6" spans="1:3" x14ac:dyDescent="0.3">
      <c r="A6" s="34" t="s">
        <v>7</v>
      </c>
      <c r="B6">
        <v>2799</v>
      </c>
      <c r="C6">
        <v>1733</v>
      </c>
    </row>
    <row r="7" spans="1:3" x14ac:dyDescent="0.3">
      <c r="A7" s="34" t="s">
        <v>115</v>
      </c>
      <c r="B7">
        <v>8192</v>
      </c>
      <c r="C7">
        <v>4985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E5F61-F214-43DE-A695-B8F9FB5272D4}">
  <dimension ref="A3:D7"/>
  <sheetViews>
    <sheetView workbookViewId="0">
      <selection activeCell="C5" sqref="C5"/>
    </sheetView>
  </sheetViews>
  <sheetFormatPr defaultRowHeight="14.4" x14ac:dyDescent="0.3"/>
  <cols>
    <col min="1" max="1" width="12.5546875" bestFit="1" customWidth="1"/>
    <col min="2" max="2" width="20.6640625" bestFit="1" customWidth="1"/>
    <col min="3" max="3" width="17" bestFit="1" customWidth="1"/>
    <col min="4" max="4" width="21.109375" bestFit="1" customWidth="1"/>
  </cols>
  <sheetData>
    <row r="3" spans="1:4" x14ac:dyDescent="0.3">
      <c r="A3" s="33" t="s">
        <v>113</v>
      </c>
      <c r="B3" t="s">
        <v>117</v>
      </c>
      <c r="C3" t="s">
        <v>118</v>
      </c>
      <c r="D3" t="s">
        <v>119</v>
      </c>
    </row>
    <row r="4" spans="1:4" x14ac:dyDescent="0.3">
      <c r="A4" s="34" t="s">
        <v>8</v>
      </c>
      <c r="B4" s="104">
        <v>8334</v>
      </c>
      <c r="C4" s="104">
        <v>12484</v>
      </c>
      <c r="D4" s="104">
        <v>4664</v>
      </c>
    </row>
    <row r="5" spans="1:4" x14ac:dyDescent="0.3">
      <c r="A5" s="34" t="s">
        <v>9</v>
      </c>
      <c r="B5" s="104">
        <v>8249</v>
      </c>
      <c r="C5" s="104">
        <v>12279</v>
      </c>
      <c r="D5" s="104">
        <v>4599</v>
      </c>
    </row>
    <row r="6" spans="1:4" x14ac:dyDescent="0.3">
      <c r="A6" s="34" t="s">
        <v>7</v>
      </c>
      <c r="B6" s="104">
        <v>8317</v>
      </c>
      <c r="C6" s="104">
        <v>12417</v>
      </c>
      <c r="D6" s="104">
        <v>4637</v>
      </c>
    </row>
    <row r="7" spans="1:4" x14ac:dyDescent="0.3">
      <c r="A7" s="34" t="s">
        <v>115</v>
      </c>
      <c r="B7" s="104">
        <v>24900</v>
      </c>
      <c r="C7" s="104">
        <v>37180</v>
      </c>
      <c r="D7" s="104">
        <v>13900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201"/>
  <sheetViews>
    <sheetView zoomScale="70" zoomScaleNormal="70" workbookViewId="0">
      <selection activeCell="A2" sqref="A2:G14"/>
    </sheetView>
  </sheetViews>
  <sheetFormatPr defaultRowHeight="14.4" x14ac:dyDescent="0.3"/>
  <cols>
    <col min="1" max="1" width="10.33203125" bestFit="1" customWidth="1"/>
    <col min="2" max="2" width="4.44140625" bestFit="1" customWidth="1"/>
    <col min="3" max="3" width="4.5546875" bestFit="1" customWidth="1"/>
    <col min="4" max="4" width="15" bestFit="1" customWidth="1"/>
    <col min="5" max="5" width="11.33203125" bestFit="1" customWidth="1"/>
    <col min="6" max="6" width="17" bestFit="1" customWidth="1"/>
    <col min="7" max="7" width="15.109375" bestFit="1" customWidth="1"/>
    <col min="10" max="10" width="34.109375" bestFit="1" customWidth="1"/>
    <col min="11" max="11" width="13.109375" bestFit="1" customWidth="1"/>
    <col min="12" max="12" width="12.44140625" customWidth="1"/>
    <col min="14" max="14" width="33.33203125" bestFit="1" customWidth="1"/>
    <col min="15" max="15" width="12" bestFit="1" customWidth="1"/>
    <col min="16" max="17" width="9.6640625" bestFit="1" customWidth="1"/>
    <col min="18" max="20" width="12" bestFit="1" customWidth="1"/>
    <col min="21" max="21" width="19.109375" bestFit="1" customWidth="1"/>
    <col min="22" max="22" width="10" bestFit="1" customWidth="1"/>
    <col min="23" max="23" width="5.44140625" bestFit="1" customWidth="1"/>
    <col min="24" max="26" width="12" bestFit="1" customWidth="1"/>
    <col min="29" max="29" width="18.5546875" bestFit="1" customWidth="1"/>
    <col min="30" max="30" width="12" bestFit="1" customWidth="1"/>
    <col min="31" max="31" width="5.44140625" bestFit="1" customWidth="1"/>
    <col min="32" max="33" width="12" bestFit="1" customWidth="1"/>
    <col min="37" max="37" width="18" bestFit="1" customWidth="1"/>
    <col min="38" max="38" width="14.88671875" bestFit="1" customWidth="1"/>
    <col min="39" max="39" width="14.5546875" bestFit="1" customWidth="1"/>
    <col min="40" max="40" width="18.5546875" bestFit="1" customWidth="1"/>
    <col min="41" max="41" width="12" bestFit="1" customWidth="1"/>
    <col min="42" max="42" width="20.109375" bestFit="1" customWidth="1"/>
    <col min="43" max="43" width="12" bestFit="1" customWidth="1"/>
    <col min="44" max="44" width="12.6640625" bestFit="1" customWidth="1"/>
    <col min="45" max="45" width="12.5546875" bestFit="1" customWidth="1"/>
  </cols>
  <sheetData>
    <row r="1" spans="1:53" x14ac:dyDescent="0.3">
      <c r="A1" s="31" t="s">
        <v>0</v>
      </c>
      <c r="B1" s="31" t="s">
        <v>1</v>
      </c>
      <c r="C1" s="31" t="s">
        <v>2</v>
      </c>
      <c r="D1" s="31" t="s">
        <v>3</v>
      </c>
      <c r="E1" s="31" t="s">
        <v>4</v>
      </c>
      <c r="F1" s="31" t="s">
        <v>5</v>
      </c>
      <c r="G1" s="31" t="s">
        <v>6</v>
      </c>
    </row>
    <row r="2" spans="1:53" x14ac:dyDescent="0.3">
      <c r="A2" s="32">
        <v>1</v>
      </c>
      <c r="B2" s="32">
        <v>24</v>
      </c>
      <c r="C2" s="32">
        <v>20</v>
      </c>
      <c r="D2" s="32">
        <v>102</v>
      </c>
      <c r="E2" s="32">
        <v>152</v>
      </c>
      <c r="F2" s="32" t="s">
        <v>7</v>
      </c>
      <c r="G2" s="32">
        <v>52</v>
      </c>
    </row>
    <row r="3" spans="1:53" x14ac:dyDescent="0.3">
      <c r="A3" s="32">
        <v>2</v>
      </c>
      <c r="B3" s="32">
        <v>23</v>
      </c>
      <c r="C3" s="32">
        <v>21</v>
      </c>
      <c r="D3" s="32">
        <v>103</v>
      </c>
      <c r="E3" s="32">
        <v>153</v>
      </c>
      <c r="F3" s="32" t="s">
        <v>8</v>
      </c>
      <c r="G3" s="32">
        <v>53</v>
      </c>
    </row>
    <row r="4" spans="1:53" x14ac:dyDescent="0.3">
      <c r="A4" s="32">
        <v>3</v>
      </c>
      <c r="B4" s="32">
        <v>24</v>
      </c>
      <c r="C4" s="32">
        <v>22</v>
      </c>
      <c r="D4" s="32">
        <v>104</v>
      </c>
      <c r="E4" s="32">
        <v>154</v>
      </c>
      <c r="F4" s="32" t="s">
        <v>9</v>
      </c>
      <c r="G4" s="32">
        <v>54</v>
      </c>
    </row>
    <row r="5" spans="1:53" x14ac:dyDescent="0.3">
      <c r="A5" s="32">
        <v>4</v>
      </c>
      <c r="B5" s="32">
        <v>25</v>
      </c>
      <c r="C5" s="32">
        <v>23</v>
      </c>
      <c r="D5" s="32">
        <v>105</v>
      </c>
      <c r="E5" s="32">
        <v>155</v>
      </c>
      <c r="F5" s="32" t="s">
        <v>7</v>
      </c>
      <c r="G5" s="32">
        <v>55</v>
      </c>
      <c r="AA5" s="3"/>
    </row>
    <row r="6" spans="1:53" x14ac:dyDescent="0.3">
      <c r="A6" s="32">
        <v>5</v>
      </c>
      <c r="B6" s="32">
        <v>26</v>
      </c>
      <c r="C6" s="32">
        <v>24</v>
      </c>
      <c r="D6" s="32">
        <v>106</v>
      </c>
      <c r="E6" s="32">
        <v>156</v>
      </c>
      <c r="F6" s="32" t="s">
        <v>8</v>
      </c>
      <c r="G6" s="32">
        <v>56</v>
      </c>
      <c r="AC6" s="66" t="s">
        <v>38</v>
      </c>
      <c r="AD6" s="66"/>
      <c r="AE6" s="66"/>
      <c r="AF6" s="66"/>
      <c r="AG6" s="66"/>
      <c r="AJ6" s="22"/>
      <c r="AK6" s="22"/>
      <c r="AL6" s="22"/>
      <c r="AM6" s="61" t="s">
        <v>107</v>
      </c>
      <c r="AN6" s="61"/>
      <c r="AO6" s="61"/>
      <c r="AP6" s="61"/>
      <c r="AQ6" s="61"/>
      <c r="AR6" s="61"/>
      <c r="AS6" s="61"/>
      <c r="AT6" s="61"/>
      <c r="AU6" s="61"/>
      <c r="AV6" s="22"/>
      <c r="AW6" s="22"/>
      <c r="AX6" s="22"/>
      <c r="AY6" s="22"/>
      <c r="AZ6" s="22"/>
      <c r="BA6" s="22"/>
    </row>
    <row r="7" spans="1:53" ht="28.8" x14ac:dyDescent="0.55000000000000004">
      <c r="A7" s="32">
        <v>6</v>
      </c>
      <c r="B7" s="32">
        <v>27</v>
      </c>
      <c r="C7" s="32">
        <v>25</v>
      </c>
      <c r="D7" s="32">
        <v>107</v>
      </c>
      <c r="E7" s="32">
        <v>157</v>
      </c>
      <c r="F7" s="32" t="s">
        <v>9</v>
      </c>
      <c r="G7" s="32">
        <v>57</v>
      </c>
      <c r="J7" s="3"/>
      <c r="O7" s="67" t="s">
        <v>21</v>
      </c>
      <c r="P7" s="67"/>
      <c r="Q7" s="67"/>
      <c r="R7" s="67"/>
      <c r="S7" s="67"/>
      <c r="U7" s="95" t="s">
        <v>22</v>
      </c>
      <c r="V7" s="96"/>
      <c r="W7" s="96"/>
      <c r="X7" s="96"/>
      <c r="Y7" s="97"/>
      <c r="AC7" s="66"/>
      <c r="AD7" s="66"/>
      <c r="AE7" s="66"/>
      <c r="AF7" s="66"/>
      <c r="AG7" s="66"/>
      <c r="AJ7" s="22"/>
      <c r="AK7" s="22"/>
      <c r="AL7" s="22"/>
      <c r="AM7" s="61"/>
      <c r="AN7" s="61"/>
      <c r="AO7" s="61"/>
      <c r="AP7" s="61"/>
      <c r="AQ7" s="61"/>
      <c r="AR7" s="61"/>
      <c r="AS7" s="61"/>
      <c r="AT7" s="61"/>
      <c r="AU7" s="61"/>
      <c r="AV7" s="22"/>
      <c r="AW7" s="22"/>
      <c r="AX7" s="22"/>
      <c r="AY7" s="22"/>
      <c r="AZ7" s="22"/>
      <c r="BA7" s="22"/>
    </row>
    <row r="8" spans="1:53" x14ac:dyDescent="0.3">
      <c r="A8" s="32">
        <v>7</v>
      </c>
      <c r="B8" s="32">
        <v>28</v>
      </c>
      <c r="C8" s="32">
        <v>26</v>
      </c>
      <c r="D8" s="32">
        <v>108</v>
      </c>
      <c r="E8" s="32">
        <v>158</v>
      </c>
      <c r="F8" s="32" t="s">
        <v>7</v>
      </c>
      <c r="G8" s="32">
        <v>58</v>
      </c>
      <c r="O8" s="1"/>
      <c r="P8" s="1" t="s">
        <v>17</v>
      </c>
      <c r="Q8" s="1" t="s">
        <v>18</v>
      </c>
      <c r="R8" s="1" t="s">
        <v>19</v>
      </c>
      <c r="S8" s="1" t="s">
        <v>20</v>
      </c>
      <c r="U8" s="98"/>
      <c r="V8" s="99"/>
      <c r="W8" s="99"/>
      <c r="X8" s="99"/>
      <c r="Y8" s="100"/>
      <c r="AC8" s="25" t="s">
        <v>23</v>
      </c>
      <c r="AD8" s="25" t="s">
        <v>25</v>
      </c>
      <c r="AE8" s="25" t="s">
        <v>26</v>
      </c>
      <c r="AF8" s="25" t="s">
        <v>27</v>
      </c>
      <c r="AG8" s="25" t="s">
        <v>28</v>
      </c>
      <c r="AJ8" s="22"/>
      <c r="AK8" s="77" t="s">
        <v>60</v>
      </c>
      <c r="AL8" s="78"/>
      <c r="BA8" s="22"/>
    </row>
    <row r="9" spans="1:53" x14ac:dyDescent="0.3">
      <c r="A9" s="32">
        <v>8</v>
      </c>
      <c r="B9" s="32">
        <v>29</v>
      </c>
      <c r="C9" s="32">
        <v>27</v>
      </c>
      <c r="D9" s="32">
        <v>109</v>
      </c>
      <c r="E9" s="32">
        <v>159</v>
      </c>
      <c r="F9" s="32" t="s">
        <v>8</v>
      </c>
      <c r="G9" s="32">
        <v>59</v>
      </c>
      <c r="O9" s="2" t="s">
        <v>17</v>
      </c>
      <c r="P9" s="2">
        <f>VARP(Healthcare_Data!$B$2:$B$21)</f>
        <v>31.54</v>
      </c>
      <c r="Q9" s="2"/>
      <c r="R9" s="2"/>
      <c r="S9" s="2"/>
      <c r="U9" s="101" t="s">
        <v>23</v>
      </c>
      <c r="V9" s="102"/>
      <c r="W9" s="102"/>
      <c r="X9" s="102"/>
      <c r="Y9" s="103"/>
      <c r="AC9" s="24" t="s">
        <v>39</v>
      </c>
      <c r="AD9" s="24">
        <v>3</v>
      </c>
      <c r="AE9" s="24">
        <v>274</v>
      </c>
      <c r="AF9" s="24">
        <v>91.333333333333329</v>
      </c>
      <c r="AG9" s="24">
        <v>4441.3333333333339</v>
      </c>
      <c r="AJ9" s="22"/>
      <c r="AK9" s="15" t="s">
        <v>61</v>
      </c>
      <c r="AL9" s="15">
        <v>3.4921514788480164E-2</v>
      </c>
      <c r="BA9" s="22"/>
    </row>
    <row r="10" spans="1:53" x14ac:dyDescent="0.3">
      <c r="A10" s="32">
        <v>9</v>
      </c>
      <c r="B10" s="32">
        <v>30</v>
      </c>
      <c r="C10" s="32">
        <v>28</v>
      </c>
      <c r="D10" s="32">
        <v>110</v>
      </c>
      <c r="E10" s="32">
        <v>160</v>
      </c>
      <c r="F10" s="32" t="s">
        <v>9</v>
      </c>
      <c r="G10" s="32">
        <v>60</v>
      </c>
      <c r="O10" s="2" t="s">
        <v>18</v>
      </c>
      <c r="P10" s="2">
        <v>-0.875</v>
      </c>
      <c r="Q10" s="2">
        <f>VARP(Healthcare_Data!$C$2:$C$21)</f>
        <v>16.1875</v>
      </c>
      <c r="R10" s="2"/>
      <c r="S10" s="2"/>
      <c r="U10" s="4" t="s">
        <v>24</v>
      </c>
      <c r="V10" s="4" t="s">
        <v>25</v>
      </c>
      <c r="W10" s="4" t="s">
        <v>26</v>
      </c>
      <c r="X10" s="4" t="s">
        <v>27</v>
      </c>
      <c r="Y10" s="4" t="s">
        <v>28</v>
      </c>
      <c r="AC10" s="24" t="s">
        <v>40</v>
      </c>
      <c r="AD10" s="24">
        <v>3</v>
      </c>
      <c r="AE10" s="24">
        <v>277</v>
      </c>
      <c r="AF10" s="24">
        <v>92.333333333333329</v>
      </c>
      <c r="AG10" s="24">
        <v>4441.3333333333339</v>
      </c>
      <c r="AJ10" s="22"/>
      <c r="AK10" s="15" t="s">
        <v>62</v>
      </c>
      <c r="AL10" s="15">
        <v>1.2195121951220388E-3</v>
      </c>
      <c r="BA10" s="22"/>
    </row>
    <row r="11" spans="1:53" x14ac:dyDescent="0.3">
      <c r="A11" s="32">
        <v>10</v>
      </c>
      <c r="B11" s="32">
        <v>31</v>
      </c>
      <c r="C11" s="32">
        <v>29</v>
      </c>
      <c r="D11" s="32">
        <v>111</v>
      </c>
      <c r="E11" s="32">
        <v>161</v>
      </c>
      <c r="F11" s="32" t="s">
        <v>7</v>
      </c>
      <c r="G11" s="32">
        <v>61</v>
      </c>
      <c r="O11" s="2" t="s">
        <v>19</v>
      </c>
      <c r="P11" s="2">
        <v>33.25</v>
      </c>
      <c r="Q11" s="2">
        <v>-0.875</v>
      </c>
      <c r="R11" s="2">
        <f>VARP(Healthcare_Data!$D$2:$D$21)</f>
        <v>33.25</v>
      </c>
      <c r="S11" s="2"/>
      <c r="U11" s="5" t="s">
        <v>17</v>
      </c>
      <c r="V11" s="5">
        <v>20</v>
      </c>
      <c r="W11" s="5">
        <v>485</v>
      </c>
      <c r="X11" s="5">
        <v>24.25</v>
      </c>
      <c r="Y11" s="5">
        <v>17.039473684210527</v>
      </c>
      <c r="AC11" s="24" t="s">
        <v>41</v>
      </c>
      <c r="AD11" s="24">
        <v>3</v>
      </c>
      <c r="AE11" s="24">
        <v>280</v>
      </c>
      <c r="AF11" s="24">
        <v>93.333333333333329</v>
      </c>
      <c r="AG11" s="24">
        <v>4441.3333333333339</v>
      </c>
      <c r="AJ11" s="22"/>
      <c r="AK11" s="15" t="s">
        <v>63</v>
      </c>
      <c r="AL11" s="15">
        <v>-5.7532281205164904E-2</v>
      </c>
      <c r="BA11" s="22"/>
    </row>
    <row r="12" spans="1:53" x14ac:dyDescent="0.3">
      <c r="A12" s="32">
        <v>11</v>
      </c>
      <c r="B12" s="32">
        <v>32</v>
      </c>
      <c r="C12" s="32">
        <v>30</v>
      </c>
      <c r="D12" s="32">
        <v>112</v>
      </c>
      <c r="E12" s="32">
        <v>162</v>
      </c>
      <c r="F12" s="32" t="s">
        <v>8</v>
      </c>
      <c r="G12" s="32">
        <v>62</v>
      </c>
      <c r="O12" s="2" t="s">
        <v>20</v>
      </c>
      <c r="P12" s="2">
        <v>33.25</v>
      </c>
      <c r="Q12" s="2">
        <v>-0.875</v>
      </c>
      <c r="R12" s="2">
        <v>33.25</v>
      </c>
      <c r="S12" s="2">
        <f>VARP(Healthcare_Data!$E$2:$E$21)</f>
        <v>33.25</v>
      </c>
      <c r="U12" s="5" t="s">
        <v>18</v>
      </c>
      <c r="V12" s="5">
        <v>20</v>
      </c>
      <c r="W12" s="5">
        <v>2230</v>
      </c>
      <c r="X12" s="5">
        <v>111.5</v>
      </c>
      <c r="Y12" s="5">
        <v>35</v>
      </c>
      <c r="AC12" s="24" t="s">
        <v>42</v>
      </c>
      <c r="AD12" s="24">
        <v>3</v>
      </c>
      <c r="AE12" s="24">
        <v>283</v>
      </c>
      <c r="AF12" s="24">
        <v>94.333333333333329</v>
      </c>
      <c r="AG12" s="24">
        <v>4441.3333333333339</v>
      </c>
      <c r="AJ12" s="22"/>
      <c r="AK12" s="15" t="s">
        <v>64</v>
      </c>
      <c r="AL12" s="15">
        <v>5.7869268388466386</v>
      </c>
      <c r="BA12" s="22"/>
    </row>
    <row r="13" spans="1:53" x14ac:dyDescent="0.3">
      <c r="A13" s="32">
        <v>12</v>
      </c>
      <c r="B13" s="32">
        <v>33</v>
      </c>
      <c r="C13" s="32">
        <v>31</v>
      </c>
      <c r="D13" s="32">
        <v>113</v>
      </c>
      <c r="E13" s="32">
        <v>163</v>
      </c>
      <c r="F13" s="32" t="s">
        <v>9</v>
      </c>
      <c r="G13" s="32">
        <v>63</v>
      </c>
      <c r="J13" s="62" t="s">
        <v>99</v>
      </c>
      <c r="K13" s="63"/>
      <c r="AC13" s="24" t="s">
        <v>43</v>
      </c>
      <c r="AD13" s="24">
        <v>3</v>
      </c>
      <c r="AE13" s="24">
        <v>286</v>
      </c>
      <c r="AF13" s="24">
        <v>95.333333333333329</v>
      </c>
      <c r="AG13" s="24">
        <v>4441.3333333333339</v>
      </c>
      <c r="AJ13" s="22"/>
      <c r="AK13" s="15" t="s">
        <v>65</v>
      </c>
      <c r="AL13" s="15">
        <v>19</v>
      </c>
      <c r="BA13" s="22"/>
    </row>
    <row r="14" spans="1:53" x14ac:dyDescent="0.3">
      <c r="A14" s="32">
        <v>13</v>
      </c>
      <c r="B14" s="32">
        <v>34</v>
      </c>
      <c r="C14" s="32">
        <v>32</v>
      </c>
      <c r="D14" s="32">
        <v>114</v>
      </c>
      <c r="E14" s="32">
        <v>164</v>
      </c>
      <c r="F14" s="32" t="s">
        <v>7</v>
      </c>
      <c r="G14" s="32">
        <v>64</v>
      </c>
      <c r="J14" s="64"/>
      <c r="K14" s="65"/>
      <c r="AC14" s="24" t="s">
        <v>44</v>
      </c>
      <c r="AD14" s="24">
        <v>3</v>
      </c>
      <c r="AE14" s="24">
        <v>289</v>
      </c>
      <c r="AF14" s="24">
        <v>96.333333333333329</v>
      </c>
      <c r="AG14" s="24">
        <v>4441.3333333333339</v>
      </c>
      <c r="AJ14" s="22"/>
      <c r="BA14" s="22"/>
    </row>
    <row r="15" spans="1:53" ht="25.5" customHeight="1" x14ac:dyDescent="0.45">
      <c r="A15" s="32">
        <v>14</v>
      </c>
      <c r="B15" s="32">
        <v>35</v>
      </c>
      <c r="C15" s="32">
        <v>18</v>
      </c>
      <c r="D15" s="32">
        <v>115</v>
      </c>
      <c r="E15" s="32">
        <v>165</v>
      </c>
      <c r="F15" s="32" t="s">
        <v>8</v>
      </c>
      <c r="G15" s="32">
        <v>65</v>
      </c>
      <c r="J15" s="23" t="s">
        <v>86</v>
      </c>
      <c r="K15" s="24">
        <v>31</v>
      </c>
      <c r="N15" s="71" t="s">
        <v>33</v>
      </c>
      <c r="O15" s="72"/>
      <c r="P15" s="72"/>
      <c r="Q15" s="72"/>
      <c r="R15" s="73"/>
      <c r="U15" s="92" t="s">
        <v>29</v>
      </c>
      <c r="V15" s="93"/>
      <c r="W15" s="93"/>
      <c r="X15" s="93"/>
      <c r="Y15" s="93"/>
      <c r="Z15" s="93"/>
      <c r="AA15" s="94"/>
      <c r="AC15" s="24" t="s">
        <v>45</v>
      </c>
      <c r="AD15" s="24">
        <v>3</v>
      </c>
      <c r="AE15" s="24">
        <v>292</v>
      </c>
      <c r="AF15" s="24">
        <v>97.333333333333329</v>
      </c>
      <c r="AG15" s="24">
        <v>4441.3333333333339</v>
      </c>
      <c r="AJ15" s="22"/>
      <c r="AK15" s="79" t="s">
        <v>29</v>
      </c>
      <c r="AL15" s="80"/>
      <c r="AM15" s="80"/>
      <c r="AN15" s="80"/>
      <c r="AO15" s="80"/>
      <c r="AP15" s="81"/>
      <c r="BA15" s="22"/>
    </row>
    <row r="16" spans="1:53" x14ac:dyDescent="0.3">
      <c r="A16" s="32">
        <v>15</v>
      </c>
      <c r="B16" s="32">
        <v>36</v>
      </c>
      <c r="C16" s="32">
        <v>19</v>
      </c>
      <c r="D16" s="32">
        <v>116</v>
      </c>
      <c r="E16" s="32">
        <v>166</v>
      </c>
      <c r="F16" s="32" t="s">
        <v>9</v>
      </c>
      <c r="G16" s="32">
        <v>66</v>
      </c>
      <c r="J16" s="23" t="s">
        <v>64</v>
      </c>
      <c r="K16" s="24">
        <v>1.2909944487358054</v>
      </c>
      <c r="N16" s="74"/>
      <c r="O16" s="75"/>
      <c r="P16" s="75"/>
      <c r="Q16" s="75"/>
      <c r="R16" s="76"/>
      <c r="U16" s="6" t="s">
        <v>30</v>
      </c>
      <c r="V16" s="6" t="s">
        <v>10</v>
      </c>
      <c r="W16" s="6" t="s">
        <v>11</v>
      </c>
      <c r="X16" s="6" t="s">
        <v>12</v>
      </c>
      <c r="Y16" s="6" t="s">
        <v>13</v>
      </c>
      <c r="Z16" s="6" t="s">
        <v>14</v>
      </c>
      <c r="AA16" s="6" t="s">
        <v>31</v>
      </c>
      <c r="AC16" s="24" t="s">
        <v>46</v>
      </c>
      <c r="AD16" s="24">
        <v>3</v>
      </c>
      <c r="AE16" s="24">
        <v>295</v>
      </c>
      <c r="AF16" s="24">
        <v>98.333333333333329</v>
      </c>
      <c r="AG16" s="24">
        <v>4441.3333333333339</v>
      </c>
      <c r="AJ16" s="22"/>
      <c r="AK16" s="16"/>
      <c r="AL16" s="16" t="s">
        <v>11</v>
      </c>
      <c r="AM16" s="16" t="s">
        <v>10</v>
      </c>
      <c r="AN16" s="16" t="s">
        <v>12</v>
      </c>
      <c r="AO16" s="16" t="s">
        <v>13</v>
      </c>
      <c r="AP16" s="16" t="s">
        <v>69</v>
      </c>
      <c r="BA16" s="22"/>
    </row>
    <row r="17" spans="1:53" x14ac:dyDescent="0.3">
      <c r="A17" s="32">
        <v>16</v>
      </c>
      <c r="B17" s="32">
        <v>37</v>
      </c>
      <c r="C17" s="32">
        <v>20</v>
      </c>
      <c r="D17" s="32">
        <v>117</v>
      </c>
      <c r="E17" s="32">
        <v>167</v>
      </c>
      <c r="F17" s="32" t="s">
        <v>7</v>
      </c>
      <c r="G17" s="32">
        <v>67</v>
      </c>
      <c r="J17" s="23" t="s">
        <v>87</v>
      </c>
      <c r="K17" s="24">
        <v>31</v>
      </c>
      <c r="N17" s="8" t="s">
        <v>23</v>
      </c>
      <c r="O17" s="10">
        <v>20</v>
      </c>
      <c r="P17" s="10">
        <v>102</v>
      </c>
      <c r="Q17" s="10">
        <v>152</v>
      </c>
      <c r="R17" s="10" t="s">
        <v>32</v>
      </c>
      <c r="U17" s="5" t="s">
        <v>15</v>
      </c>
      <c r="V17" s="5">
        <v>76125.625</v>
      </c>
      <c r="W17" s="5">
        <v>1</v>
      </c>
      <c r="X17" s="5">
        <v>76125.625</v>
      </c>
      <c r="Y17" s="5">
        <v>2925.6877370417192</v>
      </c>
      <c r="Z17" s="5">
        <v>1.4552065195405931E-37</v>
      </c>
      <c r="AA17" s="5">
        <v>4.098171730880841</v>
      </c>
      <c r="AC17" s="24" t="s">
        <v>47</v>
      </c>
      <c r="AD17" s="24">
        <v>3</v>
      </c>
      <c r="AE17" s="24">
        <v>298</v>
      </c>
      <c r="AF17" s="24">
        <v>99.333333333333329</v>
      </c>
      <c r="AG17" s="24">
        <v>4441.3333333333339</v>
      </c>
      <c r="AJ17" s="22"/>
      <c r="AK17" s="18" t="s">
        <v>66</v>
      </c>
      <c r="AL17" s="18">
        <v>1</v>
      </c>
      <c r="AM17" s="18">
        <v>0.69512195121956211</v>
      </c>
      <c r="AN17" s="18">
        <v>0.69512195121956211</v>
      </c>
      <c r="AO17" s="18">
        <v>2.0757020757022251E-2</v>
      </c>
      <c r="AP17" s="18">
        <v>0.88713698630462767</v>
      </c>
      <c r="BA17" s="22"/>
    </row>
    <row r="18" spans="1:53" x14ac:dyDescent="0.3">
      <c r="A18" s="32">
        <v>17</v>
      </c>
      <c r="B18" s="32">
        <v>38</v>
      </c>
      <c r="C18" s="32">
        <v>21</v>
      </c>
      <c r="D18" s="32">
        <v>118</v>
      </c>
      <c r="E18" s="32">
        <v>168</v>
      </c>
      <c r="F18" s="32" t="s">
        <v>8</v>
      </c>
      <c r="G18" s="32">
        <v>68</v>
      </c>
      <c r="J18" s="23" t="s">
        <v>88</v>
      </c>
      <c r="K18" s="24">
        <v>20</v>
      </c>
      <c r="N18" s="9">
        <v>23</v>
      </c>
      <c r="O18" s="11"/>
      <c r="P18" s="11"/>
      <c r="Q18" s="11"/>
      <c r="R18" s="11"/>
      <c r="U18" s="5" t="s">
        <v>16</v>
      </c>
      <c r="V18" s="5">
        <v>988.75</v>
      </c>
      <c r="W18" s="5">
        <v>38</v>
      </c>
      <c r="X18" s="5">
        <v>26.019736842105264</v>
      </c>
      <c r="Y18" s="5"/>
      <c r="Z18" s="5"/>
      <c r="AA18" s="5"/>
      <c r="AC18" s="24" t="s">
        <v>48</v>
      </c>
      <c r="AD18" s="24">
        <v>3</v>
      </c>
      <c r="AE18" s="24">
        <v>301</v>
      </c>
      <c r="AF18" s="24">
        <v>100.33333333333333</v>
      </c>
      <c r="AG18" s="24">
        <v>4441.3333333333339</v>
      </c>
      <c r="AJ18" s="22"/>
      <c r="AK18" s="18" t="s">
        <v>67</v>
      </c>
      <c r="AL18" s="18">
        <v>17</v>
      </c>
      <c r="AM18" s="18">
        <v>569.30487804878044</v>
      </c>
      <c r="AN18" s="18">
        <v>33.488522238163554</v>
      </c>
      <c r="AO18" s="18"/>
      <c r="AP18" s="18"/>
      <c r="BA18" s="22"/>
    </row>
    <row r="19" spans="1:53" x14ac:dyDescent="0.3">
      <c r="A19" s="32">
        <v>18</v>
      </c>
      <c r="B19" s="32">
        <v>39</v>
      </c>
      <c r="C19" s="32">
        <v>22</v>
      </c>
      <c r="D19" s="32">
        <v>119</v>
      </c>
      <c r="E19" s="32">
        <v>169</v>
      </c>
      <c r="F19" s="32" t="s">
        <v>9</v>
      </c>
      <c r="G19" s="32">
        <v>69</v>
      </c>
      <c r="J19" s="23" t="s">
        <v>89</v>
      </c>
      <c r="K19" s="24">
        <v>5.6273143387113773</v>
      </c>
      <c r="N19" s="8" t="s">
        <v>25</v>
      </c>
      <c r="O19" s="10">
        <v>2</v>
      </c>
      <c r="P19" s="10">
        <v>2</v>
      </c>
      <c r="Q19" s="10">
        <v>2</v>
      </c>
      <c r="R19" s="10">
        <v>6</v>
      </c>
      <c r="U19" s="5"/>
      <c r="V19" s="5"/>
      <c r="W19" s="5"/>
      <c r="X19" s="5"/>
      <c r="Y19" s="5"/>
      <c r="Z19" s="5"/>
      <c r="AA19" s="5"/>
      <c r="AC19" s="24" t="s">
        <v>49</v>
      </c>
      <c r="AD19" s="24">
        <v>3</v>
      </c>
      <c r="AE19" s="24">
        <v>304</v>
      </c>
      <c r="AF19" s="24">
        <v>101.33333333333333</v>
      </c>
      <c r="AG19" s="24">
        <v>4441.3333333333339</v>
      </c>
      <c r="AJ19" s="22"/>
      <c r="AK19" s="18" t="s">
        <v>32</v>
      </c>
      <c r="AL19" s="18">
        <v>18</v>
      </c>
      <c r="AM19" s="18">
        <v>570</v>
      </c>
      <c r="AN19" s="18"/>
      <c r="AO19" s="18"/>
      <c r="AP19" s="18"/>
      <c r="BA19" s="22"/>
    </row>
    <row r="20" spans="1:53" x14ac:dyDescent="0.3">
      <c r="A20" s="32">
        <v>19</v>
      </c>
      <c r="B20" s="32">
        <v>40</v>
      </c>
      <c r="C20" s="32">
        <v>23</v>
      </c>
      <c r="D20" s="32">
        <v>120</v>
      </c>
      <c r="E20" s="32">
        <v>170</v>
      </c>
      <c r="F20" s="32" t="s">
        <v>7</v>
      </c>
      <c r="G20" s="32">
        <v>70</v>
      </c>
      <c r="J20" s="23" t="s">
        <v>90</v>
      </c>
      <c r="K20" s="24">
        <v>31.666666666666668</v>
      </c>
      <c r="N20" s="8" t="s">
        <v>26</v>
      </c>
      <c r="O20" s="10">
        <v>43</v>
      </c>
      <c r="P20" s="10">
        <v>207</v>
      </c>
      <c r="Q20" s="10">
        <v>307</v>
      </c>
      <c r="R20" s="10">
        <v>557</v>
      </c>
      <c r="U20" s="5" t="s">
        <v>32</v>
      </c>
      <c r="V20" s="5">
        <v>77114.375</v>
      </c>
      <c r="W20" s="5">
        <v>39</v>
      </c>
      <c r="X20" s="5"/>
      <c r="Y20" s="5"/>
      <c r="Z20" s="5"/>
      <c r="AA20" s="5"/>
      <c r="AC20" s="24" t="s">
        <v>50</v>
      </c>
      <c r="AD20" s="24">
        <v>3</v>
      </c>
      <c r="AE20" s="24">
        <v>307</v>
      </c>
      <c r="AF20" s="24">
        <v>102.33333333333333</v>
      </c>
      <c r="AG20" s="24">
        <v>4441.3333333333339</v>
      </c>
      <c r="AJ20" s="22"/>
      <c r="BA20" s="22"/>
    </row>
    <row r="21" spans="1:53" x14ac:dyDescent="0.3">
      <c r="A21" s="32">
        <v>20</v>
      </c>
      <c r="B21" s="32">
        <v>41</v>
      </c>
      <c r="C21" s="32">
        <v>24</v>
      </c>
      <c r="D21" s="32">
        <v>121</v>
      </c>
      <c r="E21" s="32">
        <v>171</v>
      </c>
      <c r="F21" s="32" t="s">
        <v>8</v>
      </c>
      <c r="G21" s="32">
        <v>71</v>
      </c>
      <c r="J21" s="23" t="s">
        <v>91</v>
      </c>
      <c r="K21" s="24">
        <v>-1.1999999999999993</v>
      </c>
      <c r="N21" s="8" t="s">
        <v>27</v>
      </c>
      <c r="O21" s="10">
        <v>21.5</v>
      </c>
      <c r="P21" s="10">
        <v>103.5</v>
      </c>
      <c r="Q21" s="10">
        <v>153.5</v>
      </c>
      <c r="R21" s="10">
        <v>92.833333333333329</v>
      </c>
      <c r="AC21" s="24" t="s">
        <v>51</v>
      </c>
      <c r="AD21" s="24">
        <v>3</v>
      </c>
      <c r="AE21" s="24">
        <v>310</v>
      </c>
      <c r="AF21" s="24">
        <v>103.33333333333333</v>
      </c>
      <c r="AG21" s="24">
        <v>4441.3333333333339</v>
      </c>
      <c r="AJ21" s="22"/>
      <c r="AK21" s="16"/>
      <c r="AL21" s="16" t="s">
        <v>70</v>
      </c>
      <c r="AM21" s="16" t="s">
        <v>64</v>
      </c>
      <c r="AN21" s="16" t="s">
        <v>71</v>
      </c>
      <c r="AO21" s="16" t="s">
        <v>14</v>
      </c>
      <c r="AP21" s="16" t="s">
        <v>72</v>
      </c>
      <c r="AQ21" s="16" t="s">
        <v>73</v>
      </c>
      <c r="AR21" s="16" t="s">
        <v>74</v>
      </c>
      <c r="AS21" s="16" t="s">
        <v>75</v>
      </c>
      <c r="BA21" s="22"/>
    </row>
    <row r="22" spans="1:53" x14ac:dyDescent="0.3">
      <c r="A22" s="32">
        <v>21</v>
      </c>
      <c r="B22" s="32">
        <v>42</v>
      </c>
      <c r="C22" s="32">
        <v>25</v>
      </c>
      <c r="D22" s="32">
        <v>122</v>
      </c>
      <c r="E22" s="32">
        <v>172</v>
      </c>
      <c r="F22" s="32" t="s">
        <v>9</v>
      </c>
      <c r="G22" s="32">
        <v>72</v>
      </c>
      <c r="J22" s="23" t="s">
        <v>92</v>
      </c>
      <c r="K22" s="24">
        <v>0</v>
      </c>
      <c r="N22" s="8" t="s">
        <v>28</v>
      </c>
      <c r="O22" s="10">
        <v>0.5</v>
      </c>
      <c r="P22" s="10">
        <v>0.5</v>
      </c>
      <c r="Q22" s="10">
        <v>0.5</v>
      </c>
      <c r="R22" s="10">
        <v>3553.3666666666672</v>
      </c>
      <c r="AC22" s="24" t="s">
        <v>52</v>
      </c>
      <c r="AD22" s="24">
        <v>3</v>
      </c>
      <c r="AE22" s="24">
        <v>298</v>
      </c>
      <c r="AF22" s="24">
        <v>99.333333333333329</v>
      </c>
      <c r="AG22" s="24">
        <v>5586.3333333333339</v>
      </c>
      <c r="AJ22" s="22"/>
      <c r="AK22" s="18" t="s">
        <v>68</v>
      </c>
      <c r="AL22" s="18">
        <v>62.12439024390244</v>
      </c>
      <c r="AM22" s="18">
        <v>7.916427321386883</v>
      </c>
      <c r="AN22" s="18">
        <v>7.8475286542539537</v>
      </c>
      <c r="AO22" s="18">
        <v>4.7384657971060045E-7</v>
      </c>
      <c r="AP22" s="18">
        <v>45.422188560455112</v>
      </c>
      <c r="AQ22" s="18">
        <v>78.826591927349767</v>
      </c>
      <c r="AR22" s="18">
        <v>45.422188560455112</v>
      </c>
      <c r="AS22" s="18">
        <v>78.826591927349767</v>
      </c>
      <c r="BA22" s="22"/>
    </row>
    <row r="23" spans="1:53" x14ac:dyDescent="0.3">
      <c r="A23" s="32">
        <v>22</v>
      </c>
      <c r="B23" s="32">
        <v>43</v>
      </c>
      <c r="C23" s="32">
        <v>26</v>
      </c>
      <c r="D23" s="32">
        <v>123</v>
      </c>
      <c r="E23" s="32">
        <v>173</v>
      </c>
      <c r="F23" s="32" t="s">
        <v>7</v>
      </c>
      <c r="G23" s="32">
        <v>73</v>
      </c>
      <c r="J23" s="23" t="s">
        <v>93</v>
      </c>
      <c r="K23" s="24">
        <v>18</v>
      </c>
      <c r="N23" s="8"/>
      <c r="O23" s="10"/>
      <c r="P23" s="10"/>
      <c r="Q23" s="10"/>
      <c r="R23" s="10"/>
      <c r="U23" s="89" t="s">
        <v>38</v>
      </c>
      <c r="V23" s="89"/>
      <c r="W23" s="89"/>
      <c r="X23" s="89"/>
      <c r="Y23" s="89"/>
      <c r="AC23" s="24" t="s">
        <v>53</v>
      </c>
      <c r="AD23" s="24">
        <v>3</v>
      </c>
      <c r="AE23" s="24">
        <v>301</v>
      </c>
      <c r="AF23" s="24">
        <v>100.33333333333333</v>
      </c>
      <c r="AG23" s="24">
        <v>5586.3333333333339</v>
      </c>
      <c r="AJ23" s="22"/>
      <c r="AK23" s="18" t="s">
        <v>76</v>
      </c>
      <c r="AL23" s="18">
        <v>-4.6341463414634076E-2</v>
      </c>
      <c r="AM23" s="18">
        <v>0.32165272454517552</v>
      </c>
      <c r="AN23" s="18">
        <v>-0.14407297025126087</v>
      </c>
      <c r="AO23" s="18">
        <v>0.88713698630463189</v>
      </c>
      <c r="AP23" s="18">
        <v>-0.72496939231257429</v>
      </c>
      <c r="AQ23" s="18">
        <v>0.63228646548330614</v>
      </c>
      <c r="AR23" s="18">
        <v>-0.72496939231257429</v>
      </c>
      <c r="AS23" s="18">
        <v>0.63228646548330614</v>
      </c>
      <c r="BA23" s="22"/>
    </row>
    <row r="24" spans="1:53" x14ac:dyDescent="0.3">
      <c r="A24" s="32">
        <v>23</v>
      </c>
      <c r="B24" s="32">
        <v>44</v>
      </c>
      <c r="C24" s="32">
        <v>27</v>
      </c>
      <c r="D24" s="32">
        <v>124</v>
      </c>
      <c r="E24" s="32">
        <v>174</v>
      </c>
      <c r="F24" s="32" t="s">
        <v>8</v>
      </c>
      <c r="G24" s="32">
        <v>74</v>
      </c>
      <c r="J24" s="23" t="s">
        <v>94</v>
      </c>
      <c r="K24" s="24">
        <v>22</v>
      </c>
      <c r="N24" s="9">
        <v>25</v>
      </c>
      <c r="O24" s="11"/>
      <c r="P24" s="11"/>
      <c r="Q24" s="11"/>
      <c r="R24" s="11"/>
      <c r="U24" s="89"/>
      <c r="V24" s="89"/>
      <c r="W24" s="89"/>
      <c r="X24" s="89"/>
      <c r="Y24" s="89"/>
      <c r="AC24" s="24" t="s">
        <v>54</v>
      </c>
      <c r="AD24" s="24">
        <v>3</v>
      </c>
      <c r="AE24" s="24">
        <v>304</v>
      </c>
      <c r="AF24" s="24">
        <v>101.33333333333333</v>
      </c>
      <c r="AG24" s="24">
        <v>5586.3333333333339</v>
      </c>
      <c r="AJ24" s="22"/>
      <c r="BA24" s="22"/>
    </row>
    <row r="25" spans="1:53" x14ac:dyDescent="0.3">
      <c r="A25" s="32">
        <v>24</v>
      </c>
      <c r="B25" s="32">
        <v>45</v>
      </c>
      <c r="C25" s="32">
        <v>28</v>
      </c>
      <c r="D25" s="32">
        <v>125</v>
      </c>
      <c r="E25" s="32">
        <v>175</v>
      </c>
      <c r="F25" s="32" t="s">
        <v>9</v>
      </c>
      <c r="G25" s="32">
        <v>75</v>
      </c>
      <c r="J25" s="23" t="s">
        <v>95</v>
      </c>
      <c r="K25" s="24">
        <v>40</v>
      </c>
      <c r="N25" s="8" t="s">
        <v>25</v>
      </c>
      <c r="O25" s="10">
        <v>2</v>
      </c>
      <c r="P25" s="10">
        <v>2</v>
      </c>
      <c r="Q25" s="10">
        <v>2</v>
      </c>
      <c r="R25" s="10">
        <v>6</v>
      </c>
      <c r="U25" s="19" t="s">
        <v>23</v>
      </c>
      <c r="V25" s="19" t="s">
        <v>25</v>
      </c>
      <c r="W25" s="19" t="s">
        <v>26</v>
      </c>
      <c r="X25" s="19" t="s">
        <v>27</v>
      </c>
      <c r="Y25" s="19" t="s">
        <v>28</v>
      </c>
      <c r="AC25" s="24" t="s">
        <v>55</v>
      </c>
      <c r="AD25" s="24">
        <v>3</v>
      </c>
      <c r="AE25" s="24">
        <v>307</v>
      </c>
      <c r="AF25" s="24">
        <v>102.33333333333333</v>
      </c>
      <c r="AG25" s="24">
        <v>5586.3333333333339</v>
      </c>
      <c r="AJ25" s="22"/>
      <c r="BA25" s="22"/>
    </row>
    <row r="26" spans="1:53" x14ac:dyDescent="0.3">
      <c r="A26" s="32">
        <v>25</v>
      </c>
      <c r="B26" s="32">
        <v>46</v>
      </c>
      <c r="C26" s="32">
        <v>29</v>
      </c>
      <c r="D26" s="32">
        <v>126</v>
      </c>
      <c r="E26" s="32">
        <v>176</v>
      </c>
      <c r="F26" s="32" t="s">
        <v>7</v>
      </c>
      <c r="G26" s="32">
        <v>76</v>
      </c>
      <c r="J26" s="23" t="s">
        <v>26</v>
      </c>
      <c r="K26" s="24">
        <v>589</v>
      </c>
      <c r="N26" s="8" t="s">
        <v>26</v>
      </c>
      <c r="O26" s="10">
        <v>47</v>
      </c>
      <c r="P26" s="10">
        <v>211</v>
      </c>
      <c r="Q26" s="10">
        <v>311</v>
      </c>
      <c r="R26" s="10">
        <v>569</v>
      </c>
      <c r="U26" s="20">
        <v>21</v>
      </c>
      <c r="V26" s="20">
        <v>2</v>
      </c>
      <c r="W26" s="20">
        <v>256</v>
      </c>
      <c r="X26" s="20">
        <v>128</v>
      </c>
      <c r="Y26" s="20">
        <v>1250</v>
      </c>
      <c r="AC26" s="24" t="s">
        <v>56</v>
      </c>
      <c r="AD26" s="24">
        <v>3</v>
      </c>
      <c r="AE26" s="24">
        <v>310</v>
      </c>
      <c r="AF26" s="24">
        <v>103.33333333333333</v>
      </c>
      <c r="AG26" s="24">
        <v>5586.3333333333339</v>
      </c>
      <c r="AJ26" s="22"/>
      <c r="BA26" s="22"/>
    </row>
    <row r="27" spans="1:53" x14ac:dyDescent="0.3">
      <c r="A27" s="32">
        <v>26</v>
      </c>
      <c r="B27" s="32">
        <v>47</v>
      </c>
      <c r="C27" s="32">
        <v>30</v>
      </c>
      <c r="D27" s="32">
        <v>127</v>
      </c>
      <c r="E27" s="32">
        <v>177</v>
      </c>
      <c r="F27" s="32" t="s">
        <v>8</v>
      </c>
      <c r="G27" s="32">
        <v>77</v>
      </c>
      <c r="J27" s="23" t="s">
        <v>25</v>
      </c>
      <c r="K27" s="24">
        <v>19</v>
      </c>
      <c r="N27" s="8" t="s">
        <v>27</v>
      </c>
      <c r="O27" s="10">
        <v>23.5</v>
      </c>
      <c r="P27" s="10">
        <v>105.5</v>
      </c>
      <c r="Q27" s="10">
        <v>155.5</v>
      </c>
      <c r="R27" s="10">
        <v>94.833333333333329</v>
      </c>
      <c r="U27" s="20">
        <v>22</v>
      </c>
      <c r="V27" s="20">
        <v>2</v>
      </c>
      <c r="W27" s="20">
        <v>258</v>
      </c>
      <c r="X27" s="20">
        <v>129</v>
      </c>
      <c r="Y27" s="20">
        <v>1250</v>
      </c>
      <c r="AC27" s="24" t="s">
        <v>57</v>
      </c>
      <c r="AD27" s="24">
        <v>3</v>
      </c>
      <c r="AE27" s="24">
        <v>313</v>
      </c>
      <c r="AF27" s="24">
        <v>104.33333333333333</v>
      </c>
      <c r="AG27" s="24">
        <v>5586.3333333333339</v>
      </c>
      <c r="AJ27" s="22"/>
      <c r="AK27" s="82" t="s">
        <v>77</v>
      </c>
      <c r="AL27" s="83"/>
      <c r="AM27" s="83"/>
      <c r="AN27" s="84"/>
      <c r="AP27" s="88" t="s">
        <v>82</v>
      </c>
      <c r="AQ27" s="88"/>
      <c r="BA27" s="22"/>
    </row>
    <row r="28" spans="1:53" x14ac:dyDescent="0.3">
      <c r="A28" s="32">
        <v>27</v>
      </c>
      <c r="B28" s="32">
        <v>48</v>
      </c>
      <c r="C28" s="32">
        <v>31</v>
      </c>
      <c r="D28" s="32">
        <v>128</v>
      </c>
      <c r="E28" s="32">
        <v>178</v>
      </c>
      <c r="F28" s="32" t="s">
        <v>9</v>
      </c>
      <c r="G28" s="32">
        <v>78</v>
      </c>
      <c r="J28" s="23" t="s">
        <v>96</v>
      </c>
      <c r="K28" s="24">
        <v>40</v>
      </c>
      <c r="N28" s="8" t="s">
        <v>28</v>
      </c>
      <c r="O28" s="10">
        <v>0.5</v>
      </c>
      <c r="P28" s="10">
        <v>0.5</v>
      </c>
      <c r="Q28" s="10">
        <v>0.5</v>
      </c>
      <c r="R28" s="10">
        <v>3553.3666666666672</v>
      </c>
      <c r="U28" s="20">
        <v>23</v>
      </c>
      <c r="V28" s="20">
        <v>2</v>
      </c>
      <c r="W28" s="20">
        <v>260</v>
      </c>
      <c r="X28" s="20">
        <v>130</v>
      </c>
      <c r="Y28" s="20">
        <v>1250</v>
      </c>
      <c r="AC28" s="24"/>
      <c r="AD28" s="24"/>
      <c r="AE28" s="24"/>
      <c r="AF28" s="24"/>
      <c r="AG28" s="24"/>
      <c r="AJ28" s="22"/>
      <c r="AK28" s="85"/>
      <c r="AL28" s="86"/>
      <c r="AM28" s="86"/>
      <c r="AN28" s="87"/>
      <c r="AP28" s="88"/>
      <c r="AQ28" s="88"/>
      <c r="BA28" s="22"/>
    </row>
    <row r="29" spans="1:53" x14ac:dyDescent="0.3">
      <c r="A29" s="32">
        <v>28</v>
      </c>
      <c r="B29" s="32">
        <v>49</v>
      </c>
      <c r="C29" s="32">
        <v>32</v>
      </c>
      <c r="D29" s="32">
        <v>129</v>
      </c>
      <c r="E29" s="32">
        <v>179</v>
      </c>
      <c r="F29" s="32" t="s">
        <v>7</v>
      </c>
      <c r="G29" s="32">
        <v>79</v>
      </c>
      <c r="J29" s="23" t="s">
        <v>97</v>
      </c>
      <c r="K29" s="24">
        <v>22</v>
      </c>
      <c r="N29" s="8"/>
      <c r="O29" s="10"/>
      <c r="P29" s="10"/>
      <c r="Q29" s="10"/>
      <c r="R29" s="10"/>
      <c r="U29" s="20">
        <v>24</v>
      </c>
      <c r="V29" s="20">
        <v>2</v>
      </c>
      <c r="W29" s="20">
        <v>262</v>
      </c>
      <c r="X29" s="20">
        <v>131</v>
      </c>
      <c r="Y29" s="20">
        <v>1250</v>
      </c>
      <c r="AC29" s="24" t="s">
        <v>17</v>
      </c>
      <c r="AD29" s="24">
        <v>19</v>
      </c>
      <c r="AE29" s="24">
        <v>461</v>
      </c>
      <c r="AF29" s="24">
        <v>24.263157894736842</v>
      </c>
      <c r="AG29" s="24">
        <v>17.982456140350831</v>
      </c>
      <c r="AJ29" s="22"/>
      <c r="AK29" s="17" t="s">
        <v>78</v>
      </c>
      <c r="AL29" s="17" t="s">
        <v>79</v>
      </c>
      <c r="AM29" s="17" t="s">
        <v>80</v>
      </c>
      <c r="AN29" s="17" t="s">
        <v>81</v>
      </c>
      <c r="AP29" s="17" t="s">
        <v>83</v>
      </c>
      <c r="AQ29" s="17" t="s">
        <v>84</v>
      </c>
      <c r="BA29" s="22"/>
    </row>
    <row r="30" spans="1:53" x14ac:dyDescent="0.3">
      <c r="A30" s="32">
        <v>29</v>
      </c>
      <c r="B30" s="32">
        <v>50</v>
      </c>
      <c r="C30" s="32">
        <v>18</v>
      </c>
      <c r="D30" s="32">
        <v>130</v>
      </c>
      <c r="E30" s="32">
        <v>180</v>
      </c>
      <c r="F30" s="32" t="s">
        <v>8</v>
      </c>
      <c r="G30" s="32">
        <v>80</v>
      </c>
      <c r="J30" s="23" t="s">
        <v>98</v>
      </c>
      <c r="K30" s="24">
        <v>2.712278691177882</v>
      </c>
      <c r="N30" s="9">
        <v>27</v>
      </c>
      <c r="O30" s="11"/>
      <c r="P30" s="11"/>
      <c r="Q30" s="11"/>
      <c r="R30" s="11"/>
      <c r="U30" s="20">
        <v>25</v>
      </c>
      <c r="V30" s="20">
        <v>2</v>
      </c>
      <c r="W30" s="20">
        <v>264</v>
      </c>
      <c r="X30" s="20">
        <v>132</v>
      </c>
      <c r="Y30" s="20">
        <v>1250</v>
      </c>
      <c r="AC30" s="24" t="s">
        <v>18</v>
      </c>
      <c r="AD30" s="24">
        <v>19</v>
      </c>
      <c r="AE30" s="24">
        <v>2109</v>
      </c>
      <c r="AF30" s="24">
        <v>111</v>
      </c>
      <c r="AG30" s="24">
        <v>31.666666666666668</v>
      </c>
      <c r="AJ30" s="22"/>
      <c r="AK30" s="18">
        <v>1</v>
      </c>
      <c r="AL30" s="18">
        <v>61.197560975609761</v>
      </c>
      <c r="AM30" s="18">
        <v>-9.1975609756097612</v>
      </c>
      <c r="AN30" s="18">
        <v>-1.6354470046074441</v>
      </c>
      <c r="AP30" s="18">
        <v>2.6315789473684212</v>
      </c>
      <c r="AQ30" s="18">
        <v>52</v>
      </c>
      <c r="BA30" s="22"/>
    </row>
    <row r="31" spans="1:53" x14ac:dyDescent="0.3">
      <c r="A31" s="32">
        <v>30</v>
      </c>
      <c r="B31" s="32">
        <v>51</v>
      </c>
      <c r="C31" s="32">
        <v>19</v>
      </c>
      <c r="D31" s="32">
        <v>131</v>
      </c>
      <c r="E31" s="32">
        <v>181</v>
      </c>
      <c r="F31" s="32" t="s">
        <v>9</v>
      </c>
      <c r="G31" s="32">
        <v>81</v>
      </c>
      <c r="N31" s="8" t="s">
        <v>25</v>
      </c>
      <c r="O31" s="10">
        <v>2</v>
      </c>
      <c r="P31" s="10">
        <v>2</v>
      </c>
      <c r="Q31" s="10">
        <v>2</v>
      </c>
      <c r="R31" s="10">
        <v>6</v>
      </c>
      <c r="U31" s="20">
        <v>26</v>
      </c>
      <c r="V31" s="20">
        <v>2</v>
      </c>
      <c r="W31" s="20">
        <v>266</v>
      </c>
      <c r="X31" s="20">
        <v>133</v>
      </c>
      <c r="Y31" s="20">
        <v>1250</v>
      </c>
      <c r="AC31" s="24" t="s">
        <v>19</v>
      </c>
      <c r="AD31" s="24">
        <v>19</v>
      </c>
      <c r="AE31" s="24">
        <v>3059</v>
      </c>
      <c r="AF31" s="24">
        <v>161</v>
      </c>
      <c r="AG31" s="24">
        <v>31.666666666666668</v>
      </c>
      <c r="AJ31" s="22"/>
      <c r="AK31" s="18">
        <v>2</v>
      </c>
      <c r="AL31" s="18">
        <v>61.151219512195127</v>
      </c>
      <c r="AM31" s="18">
        <v>-8.1512195121951265</v>
      </c>
      <c r="AN31" s="18">
        <v>-1.4493937654198032</v>
      </c>
      <c r="AP31" s="18">
        <v>7.8947368421052637</v>
      </c>
      <c r="AQ31" s="18">
        <v>53</v>
      </c>
      <c r="BA31" s="22"/>
    </row>
    <row r="32" spans="1:53" x14ac:dyDescent="0.3">
      <c r="A32" s="32">
        <v>31</v>
      </c>
      <c r="B32" s="32">
        <v>52</v>
      </c>
      <c r="C32" s="32">
        <v>20</v>
      </c>
      <c r="D32" s="32">
        <v>132</v>
      </c>
      <c r="E32" s="32">
        <v>182</v>
      </c>
      <c r="F32" s="32" t="s">
        <v>7</v>
      </c>
      <c r="G32" s="32">
        <v>82</v>
      </c>
      <c r="J32" s="50" t="s">
        <v>100</v>
      </c>
      <c r="K32" s="51"/>
      <c r="L32" s="52"/>
      <c r="N32" s="8" t="s">
        <v>26</v>
      </c>
      <c r="O32" s="10">
        <v>51</v>
      </c>
      <c r="P32" s="10">
        <v>215</v>
      </c>
      <c r="Q32" s="10">
        <v>315</v>
      </c>
      <c r="R32" s="10">
        <v>581</v>
      </c>
      <c r="U32" s="20">
        <v>27</v>
      </c>
      <c r="V32" s="20">
        <v>2</v>
      </c>
      <c r="W32" s="20">
        <v>268</v>
      </c>
      <c r="X32" s="20">
        <v>134</v>
      </c>
      <c r="Y32" s="20">
        <v>1250</v>
      </c>
      <c r="AJ32" s="22"/>
      <c r="AK32" s="18">
        <v>3</v>
      </c>
      <c r="AL32" s="18">
        <v>61.104878048780492</v>
      </c>
      <c r="AM32" s="18">
        <v>-7.1048780487804919</v>
      </c>
      <c r="AN32" s="18">
        <v>-1.2633405262321624</v>
      </c>
      <c r="AP32" s="18">
        <v>13.157894736842106</v>
      </c>
      <c r="AQ32" s="18">
        <v>54</v>
      </c>
      <c r="BA32" s="22"/>
    </row>
    <row r="33" spans="1:53" x14ac:dyDescent="0.3">
      <c r="A33" s="32">
        <v>32</v>
      </c>
      <c r="B33" s="32">
        <v>53</v>
      </c>
      <c r="C33" s="32">
        <v>21</v>
      </c>
      <c r="D33" s="32">
        <v>133</v>
      </c>
      <c r="E33" s="32">
        <v>183</v>
      </c>
      <c r="F33" s="32" t="s">
        <v>8</v>
      </c>
      <c r="G33" s="32">
        <v>83</v>
      </c>
      <c r="J33" s="53"/>
      <c r="K33" s="54"/>
      <c r="L33" s="55"/>
      <c r="N33" s="8" t="s">
        <v>27</v>
      </c>
      <c r="O33" s="10">
        <v>25.5</v>
      </c>
      <c r="P33" s="10">
        <v>107.5</v>
      </c>
      <c r="Q33" s="10">
        <v>157.5</v>
      </c>
      <c r="R33" s="10">
        <v>96.833333333333329</v>
      </c>
      <c r="U33" s="20">
        <v>28</v>
      </c>
      <c r="V33" s="20">
        <v>2</v>
      </c>
      <c r="W33" s="20">
        <v>270</v>
      </c>
      <c r="X33" s="20">
        <v>135</v>
      </c>
      <c r="Y33" s="20">
        <v>1250</v>
      </c>
      <c r="AJ33" s="22"/>
      <c r="AK33" s="18">
        <v>4</v>
      </c>
      <c r="AL33" s="18">
        <v>61.058536585365857</v>
      </c>
      <c r="AM33" s="18">
        <v>-6.0585365853658573</v>
      </c>
      <c r="AN33" s="18">
        <v>-1.0772872870445216</v>
      </c>
      <c r="AP33" s="18">
        <v>18.421052631578949</v>
      </c>
      <c r="AQ33" s="18">
        <v>55</v>
      </c>
      <c r="BA33" s="22"/>
    </row>
    <row r="34" spans="1:53" ht="31.2" x14ac:dyDescent="0.6">
      <c r="A34" s="32">
        <v>33</v>
      </c>
      <c r="B34" s="32">
        <v>54</v>
      </c>
      <c r="C34" s="32">
        <v>22</v>
      </c>
      <c r="D34" s="32">
        <v>134</v>
      </c>
      <c r="E34" s="32">
        <v>184</v>
      </c>
      <c r="F34" s="32" t="s">
        <v>9</v>
      </c>
      <c r="G34" s="32">
        <v>84</v>
      </c>
      <c r="J34" s="28"/>
      <c r="K34" s="29">
        <v>22</v>
      </c>
      <c r="L34" s="29">
        <v>20</v>
      </c>
      <c r="N34" s="8" t="s">
        <v>28</v>
      </c>
      <c r="O34" s="10">
        <v>0.5</v>
      </c>
      <c r="P34" s="10">
        <v>0.5</v>
      </c>
      <c r="Q34" s="10">
        <v>0.5</v>
      </c>
      <c r="R34" s="10">
        <v>3553.3666666666672</v>
      </c>
      <c r="U34" s="20">
        <v>29</v>
      </c>
      <c r="V34" s="20">
        <v>2</v>
      </c>
      <c r="W34" s="20">
        <v>272</v>
      </c>
      <c r="X34" s="20">
        <v>136</v>
      </c>
      <c r="Y34" s="20">
        <v>1250</v>
      </c>
      <c r="AC34" s="91" t="s">
        <v>29</v>
      </c>
      <c r="AD34" s="91"/>
      <c r="AE34" s="91"/>
      <c r="AF34" s="91"/>
      <c r="AG34" s="91"/>
      <c r="AH34" s="91"/>
      <c r="AI34" s="91"/>
      <c r="AJ34" s="22"/>
      <c r="AK34" s="18">
        <v>5</v>
      </c>
      <c r="AL34" s="18">
        <v>61.012195121951223</v>
      </c>
      <c r="AM34" s="18">
        <v>-5.0121951219512226</v>
      </c>
      <c r="AN34" s="18">
        <v>-0.89123404785688087</v>
      </c>
      <c r="AP34" s="18">
        <v>23.684210526315791</v>
      </c>
      <c r="AQ34" s="18">
        <v>56</v>
      </c>
      <c r="BA34" s="22"/>
    </row>
    <row r="35" spans="1:53" x14ac:dyDescent="0.3">
      <c r="A35" s="32">
        <v>34</v>
      </c>
      <c r="B35" s="32">
        <v>55</v>
      </c>
      <c r="C35" s="32">
        <v>23</v>
      </c>
      <c r="D35" s="32">
        <v>135</v>
      </c>
      <c r="E35" s="32">
        <v>185</v>
      </c>
      <c r="F35" s="32" t="s">
        <v>7</v>
      </c>
      <c r="G35" s="32">
        <v>85</v>
      </c>
      <c r="J35" s="28" t="s">
        <v>86</v>
      </c>
      <c r="K35" s="29">
        <v>31.5</v>
      </c>
      <c r="L35" s="29">
        <v>24.5</v>
      </c>
      <c r="N35" s="8"/>
      <c r="O35" s="10"/>
      <c r="P35" s="10"/>
      <c r="Q35" s="10"/>
      <c r="R35" s="10"/>
      <c r="U35" s="20">
        <v>30</v>
      </c>
      <c r="V35" s="20">
        <v>2</v>
      </c>
      <c r="W35" s="20">
        <v>274</v>
      </c>
      <c r="X35" s="20">
        <v>137</v>
      </c>
      <c r="Y35" s="20">
        <v>1250</v>
      </c>
      <c r="AC35" s="25" t="s">
        <v>30</v>
      </c>
      <c r="AD35" s="25" t="s">
        <v>10</v>
      </c>
      <c r="AE35" s="25" t="s">
        <v>11</v>
      </c>
      <c r="AF35" s="25" t="s">
        <v>12</v>
      </c>
      <c r="AG35" s="25" t="s">
        <v>13</v>
      </c>
      <c r="AH35" s="25" t="s">
        <v>14</v>
      </c>
      <c r="AI35" s="25" t="s">
        <v>31</v>
      </c>
      <c r="AJ35" s="22"/>
      <c r="AK35" s="18">
        <v>6</v>
      </c>
      <c r="AL35" s="18">
        <v>60.965853658536588</v>
      </c>
      <c r="AM35" s="18">
        <v>-3.965853658536588</v>
      </c>
      <c r="AN35" s="18">
        <v>-0.70518080866924004</v>
      </c>
      <c r="AP35" s="18">
        <v>28.947368421052634</v>
      </c>
      <c r="AQ35" s="18">
        <v>57</v>
      </c>
      <c r="BA35" s="22"/>
    </row>
    <row r="36" spans="1:53" x14ac:dyDescent="0.3">
      <c r="A36" s="32">
        <v>35</v>
      </c>
      <c r="B36" s="32">
        <v>56</v>
      </c>
      <c r="C36" s="32">
        <v>24</v>
      </c>
      <c r="D36" s="32">
        <v>136</v>
      </c>
      <c r="E36" s="32">
        <v>186</v>
      </c>
      <c r="F36" s="32" t="s">
        <v>8</v>
      </c>
      <c r="G36" s="32">
        <v>86</v>
      </c>
      <c r="J36" s="28" t="s">
        <v>28</v>
      </c>
      <c r="K36" s="29">
        <v>28.5</v>
      </c>
      <c r="L36" s="29">
        <v>17.911764705882351</v>
      </c>
      <c r="N36" s="9">
        <v>29</v>
      </c>
      <c r="O36" s="11"/>
      <c r="P36" s="11"/>
      <c r="Q36" s="11"/>
      <c r="R36" s="11"/>
      <c r="U36" s="20">
        <v>31</v>
      </c>
      <c r="V36" s="20">
        <v>2</v>
      </c>
      <c r="W36" s="20">
        <v>276</v>
      </c>
      <c r="X36" s="20">
        <v>138</v>
      </c>
      <c r="Y36" s="20">
        <v>1250</v>
      </c>
      <c r="AC36" s="26" t="s">
        <v>58</v>
      </c>
      <c r="AD36" s="26">
        <v>847.89473684210679</v>
      </c>
      <c r="AE36" s="26">
        <v>18</v>
      </c>
      <c r="AF36" s="26">
        <v>47.105263157894825</v>
      </c>
      <c r="AG36" s="26">
        <v>2.7538461538461454</v>
      </c>
      <c r="AH36" s="26">
        <v>4.7380616406361127E-3</v>
      </c>
      <c r="AI36" s="26">
        <v>1.898621959558092</v>
      </c>
      <c r="AJ36" s="22"/>
      <c r="AK36" s="18">
        <v>7</v>
      </c>
      <c r="AL36" s="18">
        <v>60.919512195121953</v>
      </c>
      <c r="AM36" s="18">
        <v>-2.9195121951219534</v>
      </c>
      <c r="AN36" s="18">
        <v>-0.51912756948159922</v>
      </c>
      <c r="AP36" s="18">
        <v>34.21052631578948</v>
      </c>
      <c r="AQ36" s="18">
        <v>58</v>
      </c>
      <c r="BA36" s="22"/>
    </row>
    <row r="37" spans="1:53" x14ac:dyDescent="0.3">
      <c r="A37" s="32">
        <v>36</v>
      </c>
      <c r="B37" s="32">
        <v>57</v>
      </c>
      <c r="C37" s="32">
        <v>25</v>
      </c>
      <c r="D37" s="32">
        <v>137</v>
      </c>
      <c r="E37" s="32">
        <v>187</v>
      </c>
      <c r="F37" s="32" t="s">
        <v>9</v>
      </c>
      <c r="G37" s="32">
        <v>87</v>
      </c>
      <c r="J37" s="28" t="s">
        <v>65</v>
      </c>
      <c r="K37" s="29">
        <v>18</v>
      </c>
      <c r="L37" s="29">
        <v>18</v>
      </c>
      <c r="N37" s="8" t="s">
        <v>25</v>
      </c>
      <c r="O37" s="10">
        <v>2</v>
      </c>
      <c r="P37" s="10">
        <v>2</v>
      </c>
      <c r="Q37" s="10">
        <v>2</v>
      </c>
      <c r="R37" s="10">
        <v>6</v>
      </c>
      <c r="U37" s="20">
        <v>32</v>
      </c>
      <c r="V37" s="20">
        <v>2</v>
      </c>
      <c r="W37" s="20">
        <v>278</v>
      </c>
      <c r="X37" s="20">
        <v>139</v>
      </c>
      <c r="Y37" s="20">
        <v>1250</v>
      </c>
      <c r="AC37" s="26" t="s">
        <v>35</v>
      </c>
      <c r="AD37" s="26">
        <v>181894.87719298244</v>
      </c>
      <c r="AE37" s="26">
        <v>2</v>
      </c>
      <c r="AF37" s="26">
        <v>90947.438596491222</v>
      </c>
      <c r="AG37" s="26">
        <v>5316.9271794871529</v>
      </c>
      <c r="AH37" s="26">
        <v>3.2106441081141616E-45</v>
      </c>
      <c r="AI37" s="26">
        <v>3.2594463061441079</v>
      </c>
      <c r="AJ37" s="22"/>
      <c r="AK37" s="18">
        <v>8</v>
      </c>
      <c r="AL37" s="18">
        <v>60.873170731707319</v>
      </c>
      <c r="AM37" s="18">
        <v>-1.8731707317073187</v>
      </c>
      <c r="AN37" s="18">
        <v>-0.3330743302939585</v>
      </c>
      <c r="AP37" s="18">
        <v>39.473684210526315</v>
      </c>
      <c r="AQ37" s="18">
        <v>59</v>
      </c>
      <c r="BA37" s="22"/>
    </row>
    <row r="38" spans="1:53" x14ac:dyDescent="0.3">
      <c r="A38" s="32">
        <v>37</v>
      </c>
      <c r="B38" s="32">
        <v>58</v>
      </c>
      <c r="C38" s="32">
        <v>26</v>
      </c>
      <c r="D38" s="32">
        <v>138</v>
      </c>
      <c r="E38" s="32">
        <v>188</v>
      </c>
      <c r="F38" s="32" t="s">
        <v>7</v>
      </c>
      <c r="G38" s="32">
        <v>88</v>
      </c>
      <c r="J38" s="28" t="s">
        <v>101</v>
      </c>
      <c r="K38" s="29">
        <v>-0.14449487510095191</v>
      </c>
      <c r="L38" s="29"/>
      <c r="N38" s="8" t="s">
        <v>26</v>
      </c>
      <c r="O38" s="10">
        <v>55</v>
      </c>
      <c r="P38" s="10">
        <v>219</v>
      </c>
      <c r="Q38" s="10">
        <v>319</v>
      </c>
      <c r="R38" s="10">
        <v>593</v>
      </c>
      <c r="U38" s="20">
        <v>18</v>
      </c>
      <c r="V38" s="20">
        <v>2</v>
      </c>
      <c r="W38" s="20">
        <v>280</v>
      </c>
      <c r="X38" s="20">
        <v>140</v>
      </c>
      <c r="Y38" s="20">
        <v>1250</v>
      </c>
      <c r="AC38" s="26" t="s">
        <v>59</v>
      </c>
      <c r="AD38" s="26">
        <v>615.78947368421359</v>
      </c>
      <c r="AE38" s="26">
        <v>36</v>
      </c>
      <c r="AF38" s="26">
        <v>17.105263157894822</v>
      </c>
      <c r="AG38" s="26"/>
      <c r="AH38" s="26"/>
      <c r="AI38" s="26"/>
      <c r="AJ38" s="22"/>
      <c r="AK38" s="18">
        <v>9</v>
      </c>
      <c r="AL38" s="18">
        <v>60.826829268292684</v>
      </c>
      <c r="AM38" s="18">
        <v>-0.82682926829268411</v>
      </c>
      <c r="AN38" s="18">
        <v>-0.1470210911063177</v>
      </c>
      <c r="AP38" s="18">
        <v>44.736842105263165</v>
      </c>
      <c r="AQ38" s="18">
        <v>60</v>
      </c>
      <c r="BA38" s="22"/>
    </row>
    <row r="39" spans="1:53" x14ac:dyDescent="0.3">
      <c r="A39" s="32">
        <v>38</v>
      </c>
      <c r="B39" s="32">
        <v>59</v>
      </c>
      <c r="C39" s="32">
        <v>27</v>
      </c>
      <c r="D39" s="32">
        <v>139</v>
      </c>
      <c r="E39" s="32">
        <v>189</v>
      </c>
      <c r="F39" s="32" t="s">
        <v>8</v>
      </c>
      <c r="G39" s="32">
        <v>89</v>
      </c>
      <c r="J39" s="28" t="s">
        <v>102</v>
      </c>
      <c r="K39" s="29">
        <v>2</v>
      </c>
      <c r="L39" s="29"/>
      <c r="N39" s="8" t="s">
        <v>27</v>
      </c>
      <c r="O39" s="10">
        <v>27.5</v>
      </c>
      <c r="P39" s="10">
        <v>109.5</v>
      </c>
      <c r="Q39" s="10">
        <v>159.5</v>
      </c>
      <c r="R39" s="10">
        <v>98.833333333333329</v>
      </c>
      <c r="U39" s="20">
        <v>19</v>
      </c>
      <c r="V39" s="20">
        <v>2</v>
      </c>
      <c r="W39" s="20">
        <v>282</v>
      </c>
      <c r="X39" s="20">
        <v>141</v>
      </c>
      <c r="Y39" s="20">
        <v>1250</v>
      </c>
      <c r="AC39" s="26"/>
      <c r="AD39" s="26"/>
      <c r="AE39" s="26"/>
      <c r="AF39" s="26"/>
      <c r="AG39" s="26"/>
      <c r="AH39" s="26"/>
      <c r="AI39" s="26"/>
      <c r="AJ39" s="22"/>
      <c r="AK39" s="18">
        <v>10</v>
      </c>
      <c r="AL39" s="18">
        <v>60.780487804878049</v>
      </c>
      <c r="AM39" s="18">
        <v>0.21951219512195053</v>
      </c>
      <c r="AN39" s="18">
        <v>3.9032148081323104E-2</v>
      </c>
      <c r="AP39" s="18">
        <v>50</v>
      </c>
      <c r="AQ39" s="18">
        <v>61</v>
      </c>
      <c r="BA39" s="22"/>
    </row>
    <row r="40" spans="1:53" x14ac:dyDescent="0.3">
      <c r="A40" s="32">
        <v>39</v>
      </c>
      <c r="B40" s="32">
        <v>60</v>
      </c>
      <c r="C40" s="32">
        <v>28</v>
      </c>
      <c r="D40" s="32">
        <v>140</v>
      </c>
      <c r="E40" s="32">
        <v>190</v>
      </c>
      <c r="F40" s="32" t="s">
        <v>9</v>
      </c>
      <c r="G40" s="32">
        <v>50</v>
      </c>
      <c r="J40" s="28" t="s">
        <v>11</v>
      </c>
      <c r="K40" s="29">
        <v>17</v>
      </c>
      <c r="L40" s="29"/>
      <c r="N40" s="8" t="s">
        <v>28</v>
      </c>
      <c r="O40" s="10">
        <v>0.5</v>
      </c>
      <c r="P40" s="10">
        <v>0.5</v>
      </c>
      <c r="Q40" s="10">
        <v>0.5</v>
      </c>
      <c r="R40" s="10">
        <v>3553.3666666666672</v>
      </c>
      <c r="U40" s="20">
        <v>20</v>
      </c>
      <c r="V40" s="20">
        <v>2</v>
      </c>
      <c r="W40" s="20">
        <v>284</v>
      </c>
      <c r="X40" s="20">
        <v>142</v>
      </c>
      <c r="Y40" s="20">
        <v>1250</v>
      </c>
      <c r="AC40" s="26" t="s">
        <v>32</v>
      </c>
      <c r="AD40" s="26">
        <v>183358.56140350876</v>
      </c>
      <c r="AE40" s="26">
        <v>56</v>
      </c>
      <c r="AF40" s="26"/>
      <c r="AG40" s="26"/>
      <c r="AH40" s="26"/>
      <c r="AI40" s="26"/>
      <c r="AJ40" s="22"/>
      <c r="AK40" s="18">
        <v>11</v>
      </c>
      <c r="AL40" s="18">
        <v>60.734146341463415</v>
      </c>
      <c r="AM40" s="18">
        <v>1.2658536585365852</v>
      </c>
      <c r="AN40" s="18">
        <v>0.2250853872689639</v>
      </c>
      <c r="AP40" s="18">
        <v>55.26315789473685</v>
      </c>
      <c r="AQ40" s="18">
        <v>62</v>
      </c>
      <c r="BA40" s="22"/>
    </row>
    <row r="41" spans="1:53" x14ac:dyDescent="0.3">
      <c r="A41" s="32">
        <v>40</v>
      </c>
      <c r="B41" s="32">
        <v>61</v>
      </c>
      <c r="C41" s="32">
        <v>29</v>
      </c>
      <c r="D41" s="32">
        <v>141</v>
      </c>
      <c r="E41" s="32">
        <v>191</v>
      </c>
      <c r="F41" s="32" t="s">
        <v>7</v>
      </c>
      <c r="G41" s="32">
        <v>51</v>
      </c>
      <c r="J41" s="28" t="s">
        <v>71</v>
      </c>
      <c r="K41" s="29">
        <v>2.9154759474226504</v>
      </c>
      <c r="L41" s="29"/>
      <c r="N41" s="8"/>
      <c r="O41" s="10"/>
      <c r="P41" s="10"/>
      <c r="Q41" s="10"/>
      <c r="R41" s="10"/>
      <c r="U41" s="20">
        <v>21</v>
      </c>
      <c r="V41" s="20">
        <v>2</v>
      </c>
      <c r="W41" s="20">
        <v>286</v>
      </c>
      <c r="X41" s="20">
        <v>143</v>
      </c>
      <c r="Y41" s="20">
        <v>1250</v>
      </c>
      <c r="AJ41" s="22"/>
      <c r="AK41" s="18">
        <v>12</v>
      </c>
      <c r="AL41" s="18">
        <v>60.68780487804878</v>
      </c>
      <c r="AM41" s="18">
        <v>2.3121951219512198</v>
      </c>
      <c r="AN41" s="18">
        <v>0.41113862645660471</v>
      </c>
      <c r="AP41" s="18">
        <v>60.526315789473685</v>
      </c>
      <c r="AQ41" s="18">
        <v>63</v>
      </c>
      <c r="BA41" s="22"/>
    </row>
    <row r="42" spans="1:53" x14ac:dyDescent="0.3">
      <c r="A42" s="32">
        <v>41</v>
      </c>
      <c r="B42" s="32">
        <v>62</v>
      </c>
      <c r="C42" s="32">
        <v>30</v>
      </c>
      <c r="D42" s="32">
        <v>142</v>
      </c>
      <c r="E42" s="32">
        <v>192</v>
      </c>
      <c r="F42" s="32" t="s">
        <v>8</v>
      </c>
      <c r="G42" s="32">
        <v>52</v>
      </c>
      <c r="J42" s="28" t="s">
        <v>103</v>
      </c>
      <c r="K42" s="29">
        <v>4.8204836225012714E-3</v>
      </c>
      <c r="L42" s="29"/>
      <c r="N42" s="9">
        <v>31</v>
      </c>
      <c r="O42" s="11"/>
      <c r="P42" s="11"/>
      <c r="Q42" s="11"/>
      <c r="R42" s="11"/>
      <c r="U42" s="20">
        <v>22</v>
      </c>
      <c r="V42" s="20">
        <v>2</v>
      </c>
      <c r="W42" s="20">
        <v>288</v>
      </c>
      <c r="X42" s="20">
        <v>144</v>
      </c>
      <c r="Y42" s="20">
        <v>1250</v>
      </c>
      <c r="AJ42" s="22"/>
      <c r="AK42" s="18">
        <v>13</v>
      </c>
      <c r="AL42" s="18">
        <v>60.641463414634146</v>
      </c>
      <c r="AM42" s="18">
        <v>3.3585365853658544</v>
      </c>
      <c r="AN42" s="18">
        <v>0.59719186564424542</v>
      </c>
      <c r="AP42" s="18">
        <v>65.789473684210535</v>
      </c>
      <c r="AQ42" s="18">
        <v>64</v>
      </c>
      <c r="BA42" s="22"/>
    </row>
    <row r="43" spans="1:53" x14ac:dyDescent="0.3">
      <c r="A43" s="32">
        <v>42</v>
      </c>
      <c r="B43" s="32">
        <v>63</v>
      </c>
      <c r="C43" s="32">
        <v>31</v>
      </c>
      <c r="D43" s="32">
        <v>143</v>
      </c>
      <c r="E43" s="32">
        <v>193</v>
      </c>
      <c r="F43" s="32" t="s">
        <v>9</v>
      </c>
      <c r="G43" s="32">
        <v>53</v>
      </c>
      <c r="J43" s="28" t="s">
        <v>104</v>
      </c>
      <c r="K43" s="29">
        <v>1.7396067260750732</v>
      </c>
      <c r="L43" s="29"/>
      <c r="N43" s="8" t="s">
        <v>25</v>
      </c>
      <c r="O43" s="10">
        <v>2</v>
      </c>
      <c r="P43" s="10">
        <v>2</v>
      </c>
      <c r="Q43" s="10">
        <v>2</v>
      </c>
      <c r="R43" s="10">
        <v>6</v>
      </c>
      <c r="U43" s="20">
        <v>23</v>
      </c>
      <c r="V43" s="20">
        <v>2</v>
      </c>
      <c r="W43" s="20">
        <v>290</v>
      </c>
      <c r="X43" s="20">
        <v>145</v>
      </c>
      <c r="Y43" s="20">
        <v>1250</v>
      </c>
      <c r="AJ43" s="22"/>
      <c r="AK43" s="18">
        <v>14</v>
      </c>
      <c r="AL43" s="18">
        <v>61.290243902439023</v>
      </c>
      <c r="AM43" s="18">
        <v>3.7097560975609767</v>
      </c>
      <c r="AN43" s="18">
        <v>0.65964330257436266</v>
      </c>
      <c r="AP43" s="18">
        <v>71.052631578947384</v>
      </c>
      <c r="AQ43" s="18">
        <v>65</v>
      </c>
      <c r="BA43" s="22"/>
    </row>
    <row r="44" spans="1:53" x14ac:dyDescent="0.3">
      <c r="A44" s="32">
        <v>43</v>
      </c>
      <c r="B44" s="32">
        <v>64</v>
      </c>
      <c r="C44" s="32">
        <v>32</v>
      </c>
      <c r="D44" s="32">
        <v>144</v>
      </c>
      <c r="E44" s="32">
        <v>194</v>
      </c>
      <c r="F44" s="32" t="s">
        <v>7</v>
      </c>
      <c r="G44" s="32">
        <v>54</v>
      </c>
      <c r="J44" s="28" t="s">
        <v>105</v>
      </c>
      <c r="K44" s="29">
        <v>9.6409672450025428E-3</v>
      </c>
      <c r="L44" s="29"/>
      <c r="N44" s="8" t="s">
        <v>26</v>
      </c>
      <c r="O44" s="10">
        <v>59</v>
      </c>
      <c r="P44" s="10">
        <v>223</v>
      </c>
      <c r="Q44" s="10">
        <v>323</v>
      </c>
      <c r="R44" s="10">
        <v>605</v>
      </c>
      <c r="U44" s="20">
        <v>24</v>
      </c>
      <c r="V44" s="20">
        <v>2</v>
      </c>
      <c r="W44" s="20">
        <v>292</v>
      </c>
      <c r="X44" s="20">
        <v>146</v>
      </c>
      <c r="Y44" s="20">
        <v>1250</v>
      </c>
      <c r="AJ44" s="22"/>
      <c r="AK44" s="18">
        <v>15</v>
      </c>
      <c r="AL44" s="18">
        <v>61.243902439024389</v>
      </c>
      <c r="AM44" s="18">
        <v>4.7560975609756113</v>
      </c>
      <c r="AN44" s="18">
        <v>0.84569654176200348</v>
      </c>
      <c r="AP44" s="18">
        <v>76.31578947368422</v>
      </c>
      <c r="AQ44" s="18">
        <v>66</v>
      </c>
      <c r="BA44" s="22"/>
    </row>
    <row r="45" spans="1:53" x14ac:dyDescent="0.3">
      <c r="A45" s="32">
        <v>44</v>
      </c>
      <c r="B45" s="32">
        <v>20</v>
      </c>
      <c r="C45" s="32">
        <v>18</v>
      </c>
      <c r="D45" s="32">
        <v>145</v>
      </c>
      <c r="E45" s="32">
        <v>195</v>
      </c>
      <c r="F45" s="32" t="s">
        <v>8</v>
      </c>
      <c r="G45" s="32">
        <v>55</v>
      </c>
      <c r="J45" s="28" t="s">
        <v>106</v>
      </c>
      <c r="K45" s="29">
        <v>2.109815577833317</v>
      </c>
      <c r="L45" s="29"/>
      <c r="N45" s="8" t="s">
        <v>27</v>
      </c>
      <c r="O45" s="10">
        <v>29.5</v>
      </c>
      <c r="P45" s="10">
        <v>111.5</v>
      </c>
      <c r="Q45" s="10">
        <v>161.5</v>
      </c>
      <c r="R45" s="10">
        <v>100.83333333333333</v>
      </c>
      <c r="U45" s="20">
        <v>25</v>
      </c>
      <c r="V45" s="20">
        <v>2</v>
      </c>
      <c r="W45" s="20">
        <v>294</v>
      </c>
      <c r="X45" s="20">
        <v>147</v>
      </c>
      <c r="Y45" s="20">
        <v>1250</v>
      </c>
      <c r="AJ45" s="22"/>
      <c r="AK45" s="18">
        <v>16</v>
      </c>
      <c r="AL45" s="18">
        <v>61.197560975609761</v>
      </c>
      <c r="AM45" s="18">
        <v>5.8024390243902388</v>
      </c>
      <c r="AN45" s="18">
        <v>1.031749780949643</v>
      </c>
      <c r="AP45" s="18">
        <v>81.578947368421055</v>
      </c>
      <c r="AQ45" s="18">
        <v>67</v>
      </c>
      <c r="BA45" s="22"/>
    </row>
    <row r="46" spans="1:53" x14ac:dyDescent="0.3">
      <c r="A46" s="32">
        <v>45</v>
      </c>
      <c r="B46" s="32">
        <v>21</v>
      </c>
      <c r="C46" s="32">
        <v>19</v>
      </c>
      <c r="D46" s="32">
        <v>146</v>
      </c>
      <c r="E46" s="32">
        <v>196</v>
      </c>
      <c r="F46" s="32" t="s">
        <v>9</v>
      </c>
      <c r="G46" s="32">
        <v>56</v>
      </c>
      <c r="N46" s="8" t="s">
        <v>28</v>
      </c>
      <c r="O46" s="10">
        <v>0.5</v>
      </c>
      <c r="P46" s="10">
        <v>0.5</v>
      </c>
      <c r="Q46" s="10">
        <v>0.5</v>
      </c>
      <c r="R46" s="10">
        <v>3553.3666666666672</v>
      </c>
      <c r="U46" s="20">
        <v>26</v>
      </c>
      <c r="V46" s="20">
        <v>2</v>
      </c>
      <c r="W46" s="20">
        <v>296</v>
      </c>
      <c r="X46" s="20">
        <v>148</v>
      </c>
      <c r="Y46" s="20">
        <v>1250</v>
      </c>
      <c r="AJ46" s="22"/>
      <c r="AK46" s="18">
        <v>17</v>
      </c>
      <c r="AL46" s="18">
        <v>61.151219512195127</v>
      </c>
      <c r="AM46" s="18">
        <v>6.8487804878048735</v>
      </c>
      <c r="AN46" s="18">
        <v>1.2178030201372838</v>
      </c>
      <c r="AP46" s="18">
        <v>86.842105263157904</v>
      </c>
      <c r="AQ46" s="18">
        <v>68</v>
      </c>
      <c r="BA46" s="22"/>
    </row>
    <row r="47" spans="1:53" x14ac:dyDescent="0.3">
      <c r="A47" s="32">
        <v>46</v>
      </c>
      <c r="B47" s="32">
        <v>22</v>
      </c>
      <c r="C47" s="32">
        <v>20</v>
      </c>
      <c r="D47" s="32">
        <v>147</v>
      </c>
      <c r="E47" s="32">
        <v>197</v>
      </c>
      <c r="F47" s="32" t="s">
        <v>7</v>
      </c>
      <c r="G47" s="32">
        <v>57</v>
      </c>
      <c r="J47" s="50" t="s">
        <v>108</v>
      </c>
      <c r="K47" s="56"/>
      <c r="L47" s="57"/>
      <c r="N47" s="8"/>
      <c r="O47" s="10"/>
      <c r="P47" s="10"/>
      <c r="Q47" s="10"/>
      <c r="R47" s="10"/>
      <c r="U47" s="20"/>
      <c r="V47" s="20"/>
      <c r="W47" s="20"/>
      <c r="X47" s="20"/>
      <c r="Y47" s="20"/>
      <c r="AJ47" s="22"/>
      <c r="AK47" s="18">
        <v>18</v>
      </c>
      <c r="AL47" s="18">
        <v>61.104878048780492</v>
      </c>
      <c r="AM47" s="18">
        <v>7.8951219512195081</v>
      </c>
      <c r="AN47" s="18">
        <v>1.4038562593249246</v>
      </c>
      <c r="AP47" s="18">
        <v>92.105263157894754</v>
      </c>
      <c r="AQ47" s="18">
        <v>69</v>
      </c>
      <c r="BA47" s="22"/>
    </row>
    <row r="48" spans="1:53" x14ac:dyDescent="0.3">
      <c r="A48" s="32">
        <v>47</v>
      </c>
      <c r="B48" s="32">
        <v>23</v>
      </c>
      <c r="C48" s="32">
        <v>21</v>
      </c>
      <c r="D48" s="32">
        <v>148</v>
      </c>
      <c r="E48" s="32">
        <v>198</v>
      </c>
      <c r="F48" s="32" t="s">
        <v>8</v>
      </c>
      <c r="G48" s="32">
        <v>58</v>
      </c>
      <c r="J48" s="58"/>
      <c r="K48" s="59"/>
      <c r="L48" s="60"/>
      <c r="N48" s="9">
        <v>33</v>
      </c>
      <c r="O48" s="11"/>
      <c r="P48" s="11"/>
      <c r="Q48" s="11"/>
      <c r="R48" s="11"/>
      <c r="U48" s="20">
        <v>102</v>
      </c>
      <c r="V48" s="20">
        <v>21</v>
      </c>
      <c r="W48" s="20">
        <v>2373</v>
      </c>
      <c r="X48" s="20">
        <v>113</v>
      </c>
      <c r="Y48" s="20">
        <v>38.5</v>
      </c>
      <c r="AJ48" s="22"/>
      <c r="AK48" s="18">
        <v>19</v>
      </c>
      <c r="AL48" s="18">
        <v>61.058536585365857</v>
      </c>
      <c r="AM48" s="18">
        <v>8.9414634146341427</v>
      </c>
      <c r="AN48" s="18">
        <v>1.5899094985125655</v>
      </c>
      <c r="AP48" s="18">
        <v>97.368421052631589</v>
      </c>
      <c r="AQ48" s="18">
        <v>70</v>
      </c>
      <c r="BA48" s="22"/>
    </row>
    <row r="49" spans="1:53" x14ac:dyDescent="0.3">
      <c r="A49" s="32">
        <v>48</v>
      </c>
      <c r="B49" s="32">
        <v>24</v>
      </c>
      <c r="C49" s="32">
        <v>22</v>
      </c>
      <c r="D49" s="32">
        <v>149</v>
      </c>
      <c r="E49" s="32">
        <v>199</v>
      </c>
      <c r="F49" s="32" t="s">
        <v>9</v>
      </c>
      <c r="G49" s="32">
        <v>59</v>
      </c>
      <c r="J49" s="27"/>
      <c r="K49" s="30" t="s">
        <v>109</v>
      </c>
      <c r="L49" s="30" t="s">
        <v>110</v>
      </c>
      <c r="N49" s="8" t="s">
        <v>25</v>
      </c>
      <c r="O49" s="10">
        <v>2</v>
      </c>
      <c r="P49" s="10">
        <v>2</v>
      </c>
      <c r="Q49" s="10">
        <v>2</v>
      </c>
      <c r="R49" s="10">
        <v>6</v>
      </c>
      <c r="U49" s="20">
        <v>152</v>
      </c>
      <c r="V49" s="20">
        <v>21</v>
      </c>
      <c r="W49" s="20">
        <v>3423</v>
      </c>
      <c r="X49" s="20">
        <v>163</v>
      </c>
      <c r="Y49" s="20">
        <v>38.5</v>
      </c>
      <c r="AJ49" s="22"/>
      <c r="AK49" s="22"/>
      <c r="AL49" s="22"/>
      <c r="AM49" s="22"/>
      <c r="AN49" s="22"/>
      <c r="AO49" s="22"/>
      <c r="AP49" s="22"/>
      <c r="AQ49" s="22"/>
      <c r="AR49" s="22"/>
      <c r="AS49" s="22"/>
      <c r="AT49" s="22"/>
      <c r="AU49" s="22"/>
      <c r="AV49" s="22"/>
      <c r="AW49" s="22"/>
      <c r="AX49" s="22"/>
      <c r="AY49" s="22"/>
      <c r="AZ49" s="22"/>
      <c r="BA49" s="22"/>
    </row>
    <row r="50" spans="1:53" x14ac:dyDescent="0.3">
      <c r="A50" s="32">
        <v>49</v>
      </c>
      <c r="B50" s="32">
        <v>25</v>
      </c>
      <c r="C50" s="32">
        <v>23</v>
      </c>
      <c r="D50" s="32">
        <v>100</v>
      </c>
      <c r="E50" s="32">
        <v>200</v>
      </c>
      <c r="F50" s="32" t="s">
        <v>7</v>
      </c>
      <c r="G50" s="32">
        <v>60</v>
      </c>
      <c r="J50" s="28" t="s">
        <v>86</v>
      </c>
      <c r="K50" s="29">
        <v>31</v>
      </c>
      <c r="L50" s="29">
        <v>161</v>
      </c>
      <c r="N50" s="8" t="s">
        <v>26</v>
      </c>
      <c r="O50" s="10">
        <v>63</v>
      </c>
      <c r="P50" s="10">
        <v>227</v>
      </c>
      <c r="Q50" s="10">
        <v>327</v>
      </c>
      <c r="R50" s="10">
        <v>617</v>
      </c>
      <c r="AJ50" s="22"/>
      <c r="AK50" s="22"/>
      <c r="AL50" s="22"/>
      <c r="AM50" s="22"/>
      <c r="AN50" s="22"/>
      <c r="AO50" s="22"/>
      <c r="AP50" s="22"/>
      <c r="AQ50" s="22"/>
      <c r="AR50" s="22"/>
      <c r="AS50" s="22"/>
      <c r="AT50" s="22"/>
      <c r="AU50" s="22"/>
      <c r="AV50" s="22"/>
      <c r="AW50" s="22"/>
      <c r="AX50" s="22"/>
      <c r="AY50" s="22"/>
      <c r="AZ50" s="22"/>
      <c r="BA50" s="22"/>
    </row>
    <row r="51" spans="1:53" x14ac:dyDescent="0.3">
      <c r="A51" s="32">
        <v>50</v>
      </c>
      <c r="B51" s="32">
        <v>26</v>
      </c>
      <c r="C51" s="32">
        <v>24</v>
      </c>
      <c r="D51" s="32">
        <v>101</v>
      </c>
      <c r="E51" s="32">
        <v>201</v>
      </c>
      <c r="F51" s="32" t="s">
        <v>8</v>
      </c>
      <c r="G51" s="32">
        <v>61</v>
      </c>
      <c r="J51" s="28" t="s">
        <v>28</v>
      </c>
      <c r="K51" s="29">
        <v>31.666666666666668</v>
      </c>
      <c r="L51" s="29">
        <v>31.666666666666668</v>
      </c>
      <c r="N51" s="8" t="s">
        <v>27</v>
      </c>
      <c r="O51" s="10">
        <v>31.5</v>
      </c>
      <c r="P51" s="10">
        <v>113.5</v>
      </c>
      <c r="Q51" s="10">
        <v>163.5</v>
      </c>
      <c r="R51" s="10">
        <v>102.83333333333333</v>
      </c>
      <c r="AJ51" s="22"/>
      <c r="AK51" s="22"/>
      <c r="AL51" s="22"/>
      <c r="AM51" s="22"/>
      <c r="AN51" s="22"/>
      <c r="AO51" s="22"/>
      <c r="AP51" s="22"/>
      <c r="AQ51" s="22"/>
      <c r="AR51" s="22"/>
      <c r="AS51" s="22"/>
      <c r="AT51" s="22"/>
      <c r="AU51" s="22"/>
      <c r="AV51" s="22"/>
      <c r="AW51" s="22"/>
      <c r="AX51" s="22"/>
      <c r="AY51" s="22"/>
      <c r="AZ51" s="22"/>
      <c r="BA51" s="22"/>
    </row>
    <row r="52" spans="1:53" ht="31.2" x14ac:dyDescent="0.6">
      <c r="A52" s="32">
        <v>51</v>
      </c>
      <c r="B52" s="32">
        <v>27</v>
      </c>
      <c r="C52" s="32">
        <v>25</v>
      </c>
      <c r="D52" s="32">
        <v>102</v>
      </c>
      <c r="E52" s="32">
        <v>202</v>
      </c>
      <c r="F52" s="32" t="s">
        <v>9</v>
      </c>
      <c r="G52" s="32">
        <v>62</v>
      </c>
      <c r="J52" s="28" t="s">
        <v>65</v>
      </c>
      <c r="K52" s="29">
        <v>19</v>
      </c>
      <c r="L52" s="29">
        <v>19</v>
      </c>
      <c r="N52" s="8" t="s">
        <v>28</v>
      </c>
      <c r="O52" s="10">
        <v>0.5</v>
      </c>
      <c r="P52" s="10">
        <v>0.5</v>
      </c>
      <c r="Q52" s="10">
        <v>0.5</v>
      </c>
      <c r="R52" s="10">
        <v>3553.3666666666672</v>
      </c>
      <c r="U52" s="90" t="s">
        <v>29</v>
      </c>
      <c r="V52" s="90"/>
      <c r="W52" s="90"/>
      <c r="X52" s="90"/>
      <c r="Y52" s="90"/>
      <c r="Z52" s="90"/>
      <c r="AA52" s="90"/>
    </row>
    <row r="53" spans="1:53" x14ac:dyDescent="0.3">
      <c r="A53" s="32">
        <v>52</v>
      </c>
      <c r="B53" s="32">
        <v>28</v>
      </c>
      <c r="C53" s="32">
        <v>26</v>
      </c>
      <c r="D53" s="32">
        <v>103</v>
      </c>
      <c r="E53" s="32">
        <v>203</v>
      </c>
      <c r="F53" s="32" t="s">
        <v>7</v>
      </c>
      <c r="G53" s="32">
        <v>63</v>
      </c>
      <c r="J53" s="28" t="s">
        <v>11</v>
      </c>
      <c r="K53" s="29">
        <v>18</v>
      </c>
      <c r="L53" s="29">
        <v>18</v>
      </c>
      <c r="N53" s="8"/>
      <c r="O53" s="10"/>
      <c r="P53" s="10"/>
      <c r="Q53" s="10"/>
      <c r="R53" s="10"/>
      <c r="U53" s="21" t="s">
        <v>30</v>
      </c>
      <c r="V53" s="21" t="s">
        <v>10</v>
      </c>
      <c r="W53" s="21" t="s">
        <v>11</v>
      </c>
      <c r="X53" s="21" t="s">
        <v>12</v>
      </c>
      <c r="Y53" s="21" t="s">
        <v>13</v>
      </c>
      <c r="Z53" s="21" t="s">
        <v>14</v>
      </c>
      <c r="AA53" s="21" t="s">
        <v>31</v>
      </c>
      <c r="AK53" t="s">
        <v>121</v>
      </c>
      <c r="AL53" t="s">
        <v>122</v>
      </c>
    </row>
    <row r="54" spans="1:53" x14ac:dyDescent="0.3">
      <c r="A54" s="32">
        <v>53</v>
      </c>
      <c r="B54" s="32">
        <v>29</v>
      </c>
      <c r="C54" s="32">
        <v>27</v>
      </c>
      <c r="D54" s="32">
        <v>104</v>
      </c>
      <c r="E54" s="32">
        <v>204</v>
      </c>
      <c r="F54" s="32" t="s">
        <v>8</v>
      </c>
      <c r="G54" s="32">
        <v>64</v>
      </c>
      <c r="J54" s="28" t="s">
        <v>13</v>
      </c>
      <c r="K54" s="29">
        <v>1</v>
      </c>
      <c r="L54" s="29"/>
      <c r="N54" s="9">
        <v>35</v>
      </c>
      <c r="O54" s="11"/>
      <c r="P54" s="11"/>
      <c r="Q54" s="11"/>
      <c r="R54" s="11"/>
      <c r="U54" s="20" t="s">
        <v>58</v>
      </c>
      <c r="V54" s="20">
        <v>1540</v>
      </c>
      <c r="W54" s="20">
        <v>20</v>
      </c>
      <c r="X54" s="20">
        <v>77</v>
      </c>
      <c r="Y54" s="20">
        <v>65535</v>
      </c>
      <c r="Z54" s="20" t="e">
        <v>#DIV/0!</v>
      </c>
      <c r="AA54" s="20">
        <v>2.1241552129197361</v>
      </c>
      <c r="AK54" s="32">
        <v>24</v>
      </c>
      <c r="AL54" s="32">
        <v>102</v>
      </c>
    </row>
    <row r="55" spans="1:53" x14ac:dyDescent="0.3">
      <c r="A55" s="32">
        <v>54</v>
      </c>
      <c r="B55" s="32">
        <v>30</v>
      </c>
      <c r="C55" s="32">
        <v>28</v>
      </c>
      <c r="D55" s="32">
        <v>105</v>
      </c>
      <c r="E55" s="32">
        <v>205</v>
      </c>
      <c r="F55" s="32" t="s">
        <v>9</v>
      </c>
      <c r="G55" s="32">
        <v>65</v>
      </c>
      <c r="J55" s="28" t="s">
        <v>111</v>
      </c>
      <c r="K55" s="29">
        <v>0.50000000000000022</v>
      </c>
      <c r="L55" s="29"/>
      <c r="N55" s="8" t="s">
        <v>25</v>
      </c>
      <c r="O55" s="10">
        <v>2</v>
      </c>
      <c r="P55" s="10">
        <v>2</v>
      </c>
      <c r="Q55" s="10">
        <v>2</v>
      </c>
      <c r="R55" s="10">
        <v>6</v>
      </c>
      <c r="U55" s="20" t="s">
        <v>35</v>
      </c>
      <c r="V55" s="20">
        <v>26250</v>
      </c>
      <c r="W55" s="20">
        <v>1</v>
      </c>
      <c r="X55" s="20">
        <v>26250</v>
      </c>
      <c r="Y55" s="20">
        <v>65535</v>
      </c>
      <c r="Z55" s="20" t="e">
        <v>#DIV/0!</v>
      </c>
      <c r="AA55" s="20">
        <v>4.3512435033292896</v>
      </c>
      <c r="AK55" s="32">
        <v>23</v>
      </c>
      <c r="AL55" s="32">
        <v>103</v>
      </c>
    </row>
    <row r="56" spans="1:53" x14ac:dyDescent="0.3">
      <c r="A56" s="32">
        <v>55</v>
      </c>
      <c r="B56" s="32">
        <v>31</v>
      </c>
      <c r="C56" s="32">
        <v>29</v>
      </c>
      <c r="D56" s="32">
        <v>106</v>
      </c>
      <c r="E56" s="32">
        <v>206</v>
      </c>
      <c r="F56" s="32" t="s">
        <v>7</v>
      </c>
      <c r="G56" s="32">
        <v>66</v>
      </c>
      <c r="J56" s="28" t="s">
        <v>112</v>
      </c>
      <c r="K56" s="29">
        <v>0.45101988668160997</v>
      </c>
      <c r="L56" s="29"/>
      <c r="N56" s="8" t="s">
        <v>26</v>
      </c>
      <c r="O56" s="10">
        <v>37</v>
      </c>
      <c r="P56" s="10">
        <v>231</v>
      </c>
      <c r="Q56" s="10">
        <v>331</v>
      </c>
      <c r="R56" s="10">
        <v>599</v>
      </c>
      <c r="U56" s="20" t="s">
        <v>59</v>
      </c>
      <c r="V56" s="20">
        <v>0</v>
      </c>
      <c r="W56" s="20">
        <v>20</v>
      </c>
      <c r="X56" s="20">
        <v>0</v>
      </c>
      <c r="Y56" s="20"/>
      <c r="Z56" s="20"/>
      <c r="AA56" s="20"/>
      <c r="AK56" s="32">
        <v>24</v>
      </c>
      <c r="AL56" s="32">
        <v>104</v>
      </c>
    </row>
    <row r="57" spans="1:53" x14ac:dyDescent="0.3">
      <c r="A57" s="32">
        <v>56</v>
      </c>
      <c r="B57" s="32">
        <v>32</v>
      </c>
      <c r="C57" s="32">
        <v>30</v>
      </c>
      <c r="D57" s="32">
        <v>107</v>
      </c>
      <c r="E57" s="32">
        <v>207</v>
      </c>
      <c r="F57" s="32" t="s">
        <v>8</v>
      </c>
      <c r="G57" s="32">
        <v>67</v>
      </c>
      <c r="N57" s="8" t="s">
        <v>27</v>
      </c>
      <c r="O57" s="10">
        <v>18.5</v>
      </c>
      <c r="P57" s="10">
        <v>115.5</v>
      </c>
      <c r="Q57" s="10">
        <v>165.5</v>
      </c>
      <c r="R57" s="10">
        <v>99.833333333333329</v>
      </c>
      <c r="U57" s="20"/>
      <c r="V57" s="20"/>
      <c r="W57" s="20"/>
      <c r="X57" s="20"/>
      <c r="Y57" s="20"/>
      <c r="Z57" s="20"/>
      <c r="AA57" s="20"/>
      <c r="AK57" s="32">
        <v>25</v>
      </c>
      <c r="AL57" s="32">
        <v>105</v>
      </c>
    </row>
    <row r="58" spans="1:53" x14ac:dyDescent="0.3">
      <c r="A58" s="32">
        <v>57</v>
      </c>
      <c r="B58" s="32">
        <v>33</v>
      </c>
      <c r="C58" s="32">
        <v>31</v>
      </c>
      <c r="D58" s="32">
        <v>108</v>
      </c>
      <c r="E58" s="32">
        <v>208</v>
      </c>
      <c r="F58" s="32" t="s">
        <v>9</v>
      </c>
      <c r="G58" s="32">
        <v>68</v>
      </c>
      <c r="N58" s="8" t="s">
        <v>28</v>
      </c>
      <c r="O58" s="10">
        <v>0.5</v>
      </c>
      <c r="P58" s="10">
        <v>0.5</v>
      </c>
      <c r="Q58" s="10">
        <v>0.5</v>
      </c>
      <c r="R58" s="10">
        <v>4469.3666666666668</v>
      </c>
      <c r="U58" s="20" t="s">
        <v>32</v>
      </c>
      <c r="V58" s="20">
        <v>27790</v>
      </c>
      <c r="W58" s="20">
        <v>41</v>
      </c>
      <c r="X58" s="20"/>
      <c r="Y58" s="20"/>
      <c r="Z58" s="20"/>
      <c r="AA58" s="20"/>
      <c r="AK58" s="32">
        <v>26</v>
      </c>
      <c r="AL58" s="32">
        <v>106</v>
      </c>
    </row>
    <row r="59" spans="1:53" x14ac:dyDescent="0.3">
      <c r="A59" s="32">
        <v>58</v>
      </c>
      <c r="B59" s="32">
        <v>34</v>
      </c>
      <c r="C59" s="32">
        <v>32</v>
      </c>
      <c r="D59" s="32">
        <v>109</v>
      </c>
      <c r="E59" s="32">
        <v>209</v>
      </c>
      <c r="F59" s="32" t="s">
        <v>7</v>
      </c>
      <c r="G59" s="32">
        <v>69</v>
      </c>
      <c r="N59" s="8"/>
      <c r="O59" s="10"/>
      <c r="P59" s="10"/>
      <c r="Q59" s="10"/>
      <c r="R59" s="10"/>
      <c r="AK59" s="32">
        <v>27</v>
      </c>
      <c r="AL59" s="32">
        <v>107</v>
      </c>
    </row>
    <row r="60" spans="1:53" x14ac:dyDescent="0.3">
      <c r="A60" s="32">
        <v>59</v>
      </c>
      <c r="B60" s="32">
        <v>35</v>
      </c>
      <c r="C60" s="32">
        <v>18</v>
      </c>
      <c r="D60" s="32">
        <v>110</v>
      </c>
      <c r="E60" s="32">
        <v>210</v>
      </c>
      <c r="F60" s="32" t="s">
        <v>8</v>
      </c>
      <c r="G60" s="32">
        <v>70</v>
      </c>
      <c r="N60" s="9">
        <v>37</v>
      </c>
      <c r="O60" s="11"/>
      <c r="P60" s="11"/>
      <c r="Q60" s="11"/>
      <c r="R60" s="11"/>
      <c r="AK60" s="32">
        <v>28</v>
      </c>
      <c r="AL60" s="32">
        <v>108</v>
      </c>
    </row>
    <row r="61" spans="1:53" x14ac:dyDescent="0.3">
      <c r="A61" s="32">
        <v>60</v>
      </c>
      <c r="B61" s="32">
        <v>36</v>
      </c>
      <c r="C61" s="32">
        <v>19</v>
      </c>
      <c r="D61" s="32">
        <v>111</v>
      </c>
      <c r="E61" s="32">
        <v>211</v>
      </c>
      <c r="F61" s="32" t="s">
        <v>9</v>
      </c>
      <c r="G61" s="32">
        <v>71</v>
      </c>
      <c r="N61" s="8" t="s">
        <v>25</v>
      </c>
      <c r="O61" s="10">
        <v>2</v>
      </c>
      <c r="P61" s="10">
        <v>2</v>
      </c>
      <c r="Q61" s="10">
        <v>2</v>
      </c>
      <c r="R61" s="10">
        <v>6</v>
      </c>
      <c r="AK61" s="32">
        <v>29</v>
      </c>
      <c r="AL61" s="32">
        <v>109</v>
      </c>
    </row>
    <row r="62" spans="1:53" x14ac:dyDescent="0.3">
      <c r="A62" s="32">
        <v>61</v>
      </c>
      <c r="B62" s="32">
        <v>37</v>
      </c>
      <c r="C62" s="32">
        <v>20</v>
      </c>
      <c r="D62" s="32">
        <v>112</v>
      </c>
      <c r="E62" s="32">
        <v>212</v>
      </c>
      <c r="F62" s="32" t="s">
        <v>7</v>
      </c>
      <c r="G62" s="32">
        <v>72</v>
      </c>
      <c r="N62" s="8" t="s">
        <v>26</v>
      </c>
      <c r="O62" s="10">
        <v>41</v>
      </c>
      <c r="P62" s="10">
        <v>235</v>
      </c>
      <c r="Q62" s="10">
        <v>335</v>
      </c>
      <c r="R62" s="10">
        <v>611</v>
      </c>
      <c r="AK62" s="32">
        <v>30</v>
      </c>
      <c r="AL62" s="32">
        <v>110</v>
      </c>
    </row>
    <row r="63" spans="1:53" x14ac:dyDescent="0.3">
      <c r="A63" s="32">
        <v>62</v>
      </c>
      <c r="B63" s="32">
        <v>38</v>
      </c>
      <c r="C63" s="32">
        <v>21</v>
      </c>
      <c r="D63" s="32">
        <v>113</v>
      </c>
      <c r="E63" s="32">
        <v>213</v>
      </c>
      <c r="F63" s="32" t="s">
        <v>8</v>
      </c>
      <c r="G63" s="32">
        <v>73</v>
      </c>
      <c r="N63" s="8" t="s">
        <v>27</v>
      </c>
      <c r="O63" s="10">
        <v>20.5</v>
      </c>
      <c r="P63" s="10">
        <v>117.5</v>
      </c>
      <c r="Q63" s="10">
        <v>167.5</v>
      </c>
      <c r="R63" s="10">
        <v>101.83333333333333</v>
      </c>
      <c r="AK63" s="32">
        <v>31</v>
      </c>
      <c r="AL63" s="32">
        <v>111</v>
      </c>
    </row>
    <row r="64" spans="1:53" x14ac:dyDescent="0.3">
      <c r="A64" s="32">
        <v>63</v>
      </c>
      <c r="B64" s="32">
        <v>39</v>
      </c>
      <c r="C64" s="32">
        <v>22</v>
      </c>
      <c r="D64" s="32">
        <v>114</v>
      </c>
      <c r="E64" s="32">
        <v>214</v>
      </c>
      <c r="F64" s="32" t="s">
        <v>9</v>
      </c>
      <c r="G64" s="32">
        <v>74</v>
      </c>
      <c r="N64" s="8" t="s">
        <v>28</v>
      </c>
      <c r="O64" s="10">
        <v>0.5</v>
      </c>
      <c r="P64" s="10">
        <v>0.5</v>
      </c>
      <c r="Q64" s="10">
        <v>0.5</v>
      </c>
      <c r="R64" s="10">
        <v>4469.3666666666668</v>
      </c>
      <c r="AK64" s="32">
        <v>32</v>
      </c>
      <c r="AL64" s="32">
        <v>112</v>
      </c>
    </row>
    <row r="65" spans="1:38" x14ac:dyDescent="0.3">
      <c r="A65" s="32">
        <v>64</v>
      </c>
      <c r="B65" s="32">
        <v>40</v>
      </c>
      <c r="C65" s="32">
        <v>23</v>
      </c>
      <c r="D65" s="32">
        <v>115</v>
      </c>
      <c r="E65" s="32">
        <v>215</v>
      </c>
      <c r="F65" s="32" t="s">
        <v>7</v>
      </c>
      <c r="G65" s="32">
        <v>75</v>
      </c>
      <c r="N65" s="8"/>
      <c r="O65" s="10"/>
      <c r="P65" s="10"/>
      <c r="Q65" s="10"/>
      <c r="R65" s="10"/>
      <c r="AK65" s="32">
        <v>33</v>
      </c>
      <c r="AL65" s="32">
        <v>113</v>
      </c>
    </row>
    <row r="66" spans="1:38" x14ac:dyDescent="0.3">
      <c r="A66" s="32">
        <v>65</v>
      </c>
      <c r="B66" s="32">
        <v>41</v>
      </c>
      <c r="C66" s="32">
        <v>24</v>
      </c>
      <c r="D66" s="32">
        <v>116</v>
      </c>
      <c r="E66" s="32">
        <v>216</v>
      </c>
      <c r="F66" s="32" t="s">
        <v>8</v>
      </c>
      <c r="G66" s="32">
        <v>76</v>
      </c>
      <c r="N66" s="9">
        <v>39</v>
      </c>
      <c r="O66" s="11"/>
      <c r="P66" s="11"/>
      <c r="Q66" s="11"/>
      <c r="R66" s="11"/>
      <c r="AK66" s="32">
        <v>34</v>
      </c>
      <c r="AL66" s="32">
        <v>114</v>
      </c>
    </row>
    <row r="67" spans="1:38" x14ac:dyDescent="0.3">
      <c r="A67" s="32">
        <v>66</v>
      </c>
      <c r="B67" s="32">
        <v>42</v>
      </c>
      <c r="C67" s="32">
        <v>25</v>
      </c>
      <c r="D67" s="32">
        <v>117</v>
      </c>
      <c r="E67" s="32">
        <v>217</v>
      </c>
      <c r="F67" s="32" t="s">
        <v>9</v>
      </c>
      <c r="G67" s="32">
        <v>77</v>
      </c>
      <c r="N67" s="8" t="s">
        <v>25</v>
      </c>
      <c r="O67" s="10">
        <v>2</v>
      </c>
      <c r="P67" s="10">
        <v>2</v>
      </c>
      <c r="Q67" s="10">
        <v>2</v>
      </c>
      <c r="R67" s="10">
        <v>6</v>
      </c>
      <c r="AK67" s="32">
        <v>35</v>
      </c>
      <c r="AL67" s="32">
        <v>115</v>
      </c>
    </row>
    <row r="68" spans="1:38" x14ac:dyDescent="0.3">
      <c r="A68" s="32">
        <v>67</v>
      </c>
      <c r="B68" s="32">
        <v>43</v>
      </c>
      <c r="C68" s="32">
        <v>26</v>
      </c>
      <c r="D68" s="32">
        <v>118</v>
      </c>
      <c r="E68" s="32">
        <v>218</v>
      </c>
      <c r="F68" s="32" t="s">
        <v>7</v>
      </c>
      <c r="G68" s="32">
        <v>78</v>
      </c>
      <c r="N68" s="8" t="s">
        <v>26</v>
      </c>
      <c r="O68" s="10">
        <v>45</v>
      </c>
      <c r="P68" s="10">
        <v>239</v>
      </c>
      <c r="Q68" s="10">
        <v>339</v>
      </c>
      <c r="R68" s="10">
        <v>623</v>
      </c>
      <c r="AK68" s="32">
        <v>36</v>
      </c>
      <c r="AL68" s="32">
        <v>116</v>
      </c>
    </row>
    <row r="69" spans="1:38" x14ac:dyDescent="0.3">
      <c r="A69" s="32">
        <v>68</v>
      </c>
      <c r="B69" s="32">
        <v>44</v>
      </c>
      <c r="C69" s="32">
        <v>27</v>
      </c>
      <c r="D69" s="32">
        <v>119</v>
      </c>
      <c r="E69" s="32">
        <v>219</v>
      </c>
      <c r="F69" s="32" t="s">
        <v>8</v>
      </c>
      <c r="G69" s="32">
        <v>79</v>
      </c>
      <c r="N69" s="8" t="s">
        <v>27</v>
      </c>
      <c r="O69" s="10">
        <v>22.5</v>
      </c>
      <c r="P69" s="10">
        <v>119.5</v>
      </c>
      <c r="Q69" s="10">
        <v>169.5</v>
      </c>
      <c r="R69" s="10">
        <v>103.83333333333333</v>
      </c>
      <c r="AK69" s="32">
        <v>37</v>
      </c>
      <c r="AL69" s="32">
        <v>117</v>
      </c>
    </row>
    <row r="70" spans="1:38" x14ac:dyDescent="0.3">
      <c r="A70" s="32">
        <v>69</v>
      </c>
      <c r="B70" s="32">
        <v>45</v>
      </c>
      <c r="C70" s="32">
        <v>28</v>
      </c>
      <c r="D70" s="32">
        <v>120</v>
      </c>
      <c r="E70" s="32">
        <v>220</v>
      </c>
      <c r="F70" s="32" t="s">
        <v>9</v>
      </c>
      <c r="G70" s="32">
        <v>80</v>
      </c>
      <c r="N70" s="8" t="s">
        <v>28</v>
      </c>
      <c r="O70" s="10">
        <v>0.5</v>
      </c>
      <c r="P70" s="10">
        <v>0.5</v>
      </c>
      <c r="Q70" s="10">
        <v>0.5</v>
      </c>
      <c r="R70" s="10">
        <v>4469.3666666666668</v>
      </c>
      <c r="AK70" s="32">
        <v>38</v>
      </c>
      <c r="AL70" s="32">
        <v>118</v>
      </c>
    </row>
    <row r="71" spans="1:38" x14ac:dyDescent="0.3">
      <c r="A71" s="32">
        <v>70</v>
      </c>
      <c r="B71" s="32">
        <v>46</v>
      </c>
      <c r="C71" s="32">
        <v>29</v>
      </c>
      <c r="D71" s="32">
        <v>121</v>
      </c>
      <c r="E71" s="32">
        <v>221</v>
      </c>
      <c r="F71" s="32" t="s">
        <v>7</v>
      </c>
      <c r="G71" s="32">
        <v>81</v>
      </c>
      <c r="N71" s="8"/>
      <c r="O71" s="10"/>
      <c r="P71" s="10"/>
      <c r="Q71" s="10"/>
      <c r="R71" s="10"/>
      <c r="AK71" s="32">
        <v>39</v>
      </c>
      <c r="AL71" s="32">
        <v>119</v>
      </c>
    </row>
    <row r="72" spans="1:38" x14ac:dyDescent="0.3">
      <c r="A72" s="32">
        <v>71</v>
      </c>
      <c r="B72" s="32">
        <v>47</v>
      </c>
      <c r="C72" s="32">
        <v>30</v>
      </c>
      <c r="D72" s="32">
        <v>122</v>
      </c>
      <c r="E72" s="32">
        <v>222</v>
      </c>
      <c r="F72" s="32" t="s">
        <v>8</v>
      </c>
      <c r="G72" s="32">
        <v>82</v>
      </c>
      <c r="N72" s="9" t="s">
        <v>32</v>
      </c>
      <c r="O72" s="11"/>
      <c r="P72" s="11"/>
      <c r="Q72" s="11"/>
      <c r="R72" s="11"/>
      <c r="S72" s="7"/>
      <c r="T72" s="7"/>
      <c r="U72" s="7"/>
      <c r="V72" s="7"/>
      <c r="W72" s="7"/>
      <c r="X72" s="7"/>
      <c r="AK72" s="32">
        <v>40</v>
      </c>
      <c r="AL72" s="32">
        <v>120</v>
      </c>
    </row>
    <row r="73" spans="1:38" x14ac:dyDescent="0.3">
      <c r="A73" s="32">
        <v>72</v>
      </c>
      <c r="B73" s="32">
        <v>48</v>
      </c>
      <c r="C73" s="32">
        <v>31</v>
      </c>
      <c r="D73" s="32">
        <v>123</v>
      </c>
      <c r="E73" s="32">
        <v>223</v>
      </c>
      <c r="F73" s="32" t="s">
        <v>9</v>
      </c>
      <c r="G73" s="32">
        <v>83</v>
      </c>
      <c r="N73" s="8" t="s">
        <v>25</v>
      </c>
      <c r="O73" s="10">
        <v>18</v>
      </c>
      <c r="P73" s="10">
        <v>18</v>
      </c>
      <c r="Q73" s="10">
        <v>18</v>
      </c>
      <c r="R73" s="10"/>
      <c r="AK73" s="32">
        <v>41</v>
      </c>
      <c r="AL73" s="32">
        <v>121</v>
      </c>
    </row>
    <row r="74" spans="1:38" x14ac:dyDescent="0.3">
      <c r="A74" s="32">
        <v>73</v>
      </c>
      <c r="B74" s="32">
        <v>49</v>
      </c>
      <c r="C74" s="32">
        <v>32</v>
      </c>
      <c r="D74" s="32">
        <v>124</v>
      </c>
      <c r="E74" s="32">
        <v>224</v>
      </c>
      <c r="F74" s="32" t="s">
        <v>7</v>
      </c>
      <c r="G74" s="32">
        <v>84</v>
      </c>
      <c r="N74" s="8" t="s">
        <v>26</v>
      </c>
      <c r="O74" s="10">
        <v>441</v>
      </c>
      <c r="P74" s="10">
        <v>2007</v>
      </c>
      <c r="Q74" s="10">
        <v>2907</v>
      </c>
      <c r="R74" s="10"/>
      <c r="AK74" s="32">
        <v>42</v>
      </c>
      <c r="AL74" s="32">
        <v>122</v>
      </c>
    </row>
    <row r="75" spans="1:38" x14ac:dyDescent="0.3">
      <c r="A75" s="32">
        <v>74</v>
      </c>
      <c r="B75" s="32">
        <v>50</v>
      </c>
      <c r="C75" s="32">
        <v>18</v>
      </c>
      <c r="D75" s="32">
        <v>125</v>
      </c>
      <c r="E75" s="32">
        <v>225</v>
      </c>
      <c r="F75" s="32" t="s">
        <v>8</v>
      </c>
      <c r="G75" s="32">
        <v>85</v>
      </c>
      <c r="N75" s="8" t="s">
        <v>27</v>
      </c>
      <c r="O75" s="10">
        <v>24.5</v>
      </c>
      <c r="P75" s="10">
        <v>111.5</v>
      </c>
      <c r="Q75" s="10">
        <v>161.5</v>
      </c>
      <c r="R75" s="10"/>
      <c r="AK75" s="32">
        <v>43</v>
      </c>
      <c r="AL75" s="32">
        <v>123</v>
      </c>
    </row>
    <row r="76" spans="1:38" x14ac:dyDescent="0.3">
      <c r="A76" s="32">
        <v>75</v>
      </c>
      <c r="B76" s="32">
        <v>51</v>
      </c>
      <c r="C76" s="32">
        <v>19</v>
      </c>
      <c r="D76" s="32">
        <v>126</v>
      </c>
      <c r="E76" s="32">
        <v>226</v>
      </c>
      <c r="F76" s="32" t="s">
        <v>9</v>
      </c>
      <c r="G76" s="32">
        <v>86</v>
      </c>
      <c r="N76" s="8" t="s">
        <v>28</v>
      </c>
      <c r="O76" s="10">
        <v>17.911764705882351</v>
      </c>
      <c r="P76" s="10">
        <v>28.5</v>
      </c>
      <c r="Q76" s="10">
        <v>28.5</v>
      </c>
      <c r="R76" s="10"/>
      <c r="AK76" s="32">
        <v>44</v>
      </c>
      <c r="AL76" s="32">
        <v>124</v>
      </c>
    </row>
    <row r="77" spans="1:38" x14ac:dyDescent="0.3">
      <c r="A77" s="32">
        <v>76</v>
      </c>
      <c r="B77" s="32">
        <v>52</v>
      </c>
      <c r="C77" s="32">
        <v>20</v>
      </c>
      <c r="D77" s="32">
        <v>127</v>
      </c>
      <c r="E77" s="32">
        <v>227</v>
      </c>
      <c r="F77" s="32" t="s">
        <v>7</v>
      </c>
      <c r="G77" s="32">
        <v>87</v>
      </c>
      <c r="N77" s="8"/>
      <c r="O77" s="10"/>
      <c r="P77" s="10"/>
      <c r="Q77" s="10"/>
      <c r="R77" s="10"/>
      <c r="AK77" s="32">
        <v>45</v>
      </c>
      <c r="AL77" s="32">
        <v>125</v>
      </c>
    </row>
    <row r="78" spans="1:38" x14ac:dyDescent="0.3">
      <c r="A78" s="32">
        <v>77</v>
      </c>
      <c r="B78" s="32">
        <v>53</v>
      </c>
      <c r="C78" s="32">
        <v>21</v>
      </c>
      <c r="D78" s="32">
        <v>128</v>
      </c>
      <c r="E78" s="32">
        <v>228</v>
      </c>
      <c r="F78" s="32" t="s">
        <v>8</v>
      </c>
      <c r="G78" s="32">
        <v>88</v>
      </c>
      <c r="AK78" s="32">
        <v>46</v>
      </c>
      <c r="AL78" s="32">
        <v>126</v>
      </c>
    </row>
    <row r="79" spans="1:38" x14ac:dyDescent="0.3">
      <c r="A79" s="32">
        <v>78</v>
      </c>
      <c r="B79" s="32">
        <v>54</v>
      </c>
      <c r="C79" s="32">
        <v>22</v>
      </c>
      <c r="D79" s="32">
        <v>129</v>
      </c>
      <c r="E79" s="32">
        <v>229</v>
      </c>
      <c r="F79" s="32" t="s">
        <v>9</v>
      </c>
      <c r="G79" s="32">
        <v>89</v>
      </c>
      <c r="N79" s="68" t="s">
        <v>29</v>
      </c>
      <c r="O79" s="69"/>
      <c r="P79" s="69"/>
      <c r="Q79" s="69"/>
      <c r="R79" s="69"/>
      <c r="S79" s="69"/>
      <c r="T79" s="70"/>
      <c r="AK79" s="32">
        <v>47</v>
      </c>
      <c r="AL79" s="32">
        <v>127</v>
      </c>
    </row>
    <row r="80" spans="1:38" x14ac:dyDescent="0.3">
      <c r="A80" s="32">
        <v>79</v>
      </c>
      <c r="B80" s="32">
        <v>55</v>
      </c>
      <c r="C80" s="32">
        <v>23</v>
      </c>
      <c r="D80" s="32">
        <v>130</v>
      </c>
      <c r="E80" s="32">
        <v>150</v>
      </c>
      <c r="F80" s="32" t="s">
        <v>7</v>
      </c>
      <c r="G80" s="32">
        <v>50</v>
      </c>
      <c r="N80" s="12" t="s">
        <v>30</v>
      </c>
      <c r="O80" s="12" t="s">
        <v>10</v>
      </c>
      <c r="P80" s="12" t="s">
        <v>11</v>
      </c>
      <c r="Q80" s="12" t="s">
        <v>12</v>
      </c>
      <c r="R80" s="12" t="s">
        <v>13</v>
      </c>
      <c r="S80" s="12" t="s">
        <v>14</v>
      </c>
      <c r="T80" s="12" t="s">
        <v>31</v>
      </c>
      <c r="AK80" s="32">
        <v>48</v>
      </c>
      <c r="AL80" s="32">
        <v>128</v>
      </c>
    </row>
    <row r="81" spans="1:38" x14ac:dyDescent="0.3">
      <c r="A81" s="32">
        <v>80</v>
      </c>
      <c r="B81" s="32">
        <v>56</v>
      </c>
      <c r="C81" s="32">
        <v>24</v>
      </c>
      <c r="D81" s="32">
        <v>131</v>
      </c>
      <c r="E81" s="32">
        <v>151</v>
      </c>
      <c r="F81" s="32" t="s">
        <v>8</v>
      </c>
      <c r="G81" s="32">
        <v>51</v>
      </c>
      <c r="N81" s="10" t="s">
        <v>34</v>
      </c>
      <c r="O81" s="10">
        <v>660</v>
      </c>
      <c r="P81" s="10">
        <v>8</v>
      </c>
      <c r="Q81" s="10">
        <v>82.5</v>
      </c>
      <c r="R81" s="10">
        <v>165</v>
      </c>
      <c r="S81" s="10">
        <v>6.9733033187569387E-21</v>
      </c>
      <c r="T81" s="10">
        <v>2.3053131774274283</v>
      </c>
      <c r="AK81" s="32">
        <v>49</v>
      </c>
      <c r="AL81" s="32">
        <v>129</v>
      </c>
    </row>
    <row r="82" spans="1:38" x14ac:dyDescent="0.3">
      <c r="A82" s="32">
        <v>81</v>
      </c>
      <c r="B82" s="32">
        <v>57</v>
      </c>
      <c r="C82" s="32">
        <v>25</v>
      </c>
      <c r="D82" s="32">
        <v>132</v>
      </c>
      <c r="E82" s="32">
        <v>152</v>
      </c>
      <c r="F82" s="32" t="s">
        <v>9</v>
      </c>
      <c r="G82" s="32">
        <v>52</v>
      </c>
      <c r="N82" s="10" t="s">
        <v>35</v>
      </c>
      <c r="O82" s="10">
        <v>173028.00000000003</v>
      </c>
      <c r="P82" s="10">
        <v>2</v>
      </c>
      <c r="Q82" s="10">
        <v>86514.000000000015</v>
      </c>
      <c r="R82" s="10">
        <v>173028.00000000003</v>
      </c>
      <c r="S82" s="10">
        <v>3.5032990779886582E-56</v>
      </c>
      <c r="T82" s="10">
        <v>3.3541308285291991</v>
      </c>
      <c r="AK82" s="32">
        <v>50</v>
      </c>
      <c r="AL82" s="32">
        <v>130</v>
      </c>
    </row>
    <row r="83" spans="1:38" x14ac:dyDescent="0.3">
      <c r="A83" s="32">
        <v>82</v>
      </c>
      <c r="B83" s="32">
        <v>58</v>
      </c>
      <c r="C83" s="32">
        <v>26</v>
      </c>
      <c r="D83" s="32">
        <v>133</v>
      </c>
      <c r="E83" s="32">
        <v>153</v>
      </c>
      <c r="F83" s="32" t="s">
        <v>7</v>
      </c>
      <c r="G83" s="32">
        <v>53</v>
      </c>
      <c r="N83" s="10" t="s">
        <v>36</v>
      </c>
      <c r="O83" s="10">
        <v>600</v>
      </c>
      <c r="P83" s="10">
        <v>16</v>
      </c>
      <c r="Q83" s="10">
        <v>37.5</v>
      </c>
      <c r="R83" s="10">
        <v>75</v>
      </c>
      <c r="S83" s="10">
        <v>3.4661725812083176E-18</v>
      </c>
      <c r="T83" s="10">
        <v>2.0357904427594149</v>
      </c>
      <c r="AK83" s="32">
        <v>51</v>
      </c>
      <c r="AL83" s="32">
        <v>131</v>
      </c>
    </row>
    <row r="84" spans="1:38" x14ac:dyDescent="0.3">
      <c r="A84" s="32">
        <v>83</v>
      </c>
      <c r="B84" s="32">
        <v>59</v>
      </c>
      <c r="C84" s="32">
        <v>27</v>
      </c>
      <c r="D84" s="32">
        <v>134</v>
      </c>
      <c r="E84" s="32">
        <v>154</v>
      </c>
      <c r="F84" s="32" t="s">
        <v>8</v>
      </c>
      <c r="G84" s="32">
        <v>54</v>
      </c>
      <c r="N84" s="10" t="s">
        <v>37</v>
      </c>
      <c r="O84" s="10">
        <v>13.5</v>
      </c>
      <c r="P84" s="10">
        <v>27</v>
      </c>
      <c r="Q84" s="10">
        <v>0.5</v>
      </c>
      <c r="R84" s="10"/>
      <c r="S84" s="10"/>
      <c r="T84" s="10"/>
      <c r="AK84" s="32">
        <v>52</v>
      </c>
      <c r="AL84" s="32">
        <v>132</v>
      </c>
    </row>
    <row r="85" spans="1:38" x14ac:dyDescent="0.3">
      <c r="A85" s="32">
        <v>84</v>
      </c>
      <c r="B85" s="32">
        <v>60</v>
      </c>
      <c r="C85" s="32">
        <v>28</v>
      </c>
      <c r="D85" s="32">
        <v>135</v>
      </c>
      <c r="E85" s="32">
        <v>155</v>
      </c>
      <c r="F85" s="32" t="s">
        <v>9</v>
      </c>
      <c r="G85" s="32">
        <v>55</v>
      </c>
      <c r="N85" s="10"/>
      <c r="O85" s="10"/>
      <c r="P85" s="10"/>
      <c r="Q85" s="10"/>
      <c r="R85" s="10"/>
      <c r="S85" s="10"/>
      <c r="T85" s="10"/>
      <c r="AK85" s="32">
        <v>53</v>
      </c>
      <c r="AL85" s="32">
        <v>133</v>
      </c>
    </row>
    <row r="86" spans="1:38" x14ac:dyDescent="0.3">
      <c r="A86" s="32">
        <v>85</v>
      </c>
      <c r="B86" s="32">
        <v>61</v>
      </c>
      <c r="C86" s="32">
        <v>29</v>
      </c>
      <c r="D86" s="32">
        <v>136</v>
      </c>
      <c r="E86" s="32">
        <v>156</v>
      </c>
      <c r="F86" s="32" t="s">
        <v>7</v>
      </c>
      <c r="G86" s="32">
        <v>56</v>
      </c>
      <c r="N86" s="10" t="s">
        <v>32</v>
      </c>
      <c r="O86" s="10">
        <v>174301.50000000003</v>
      </c>
      <c r="P86" s="10">
        <v>53</v>
      </c>
      <c r="Q86" s="10"/>
      <c r="R86" s="10"/>
      <c r="S86" s="10"/>
      <c r="T86" s="10"/>
      <c r="AK86" s="32">
        <v>54</v>
      </c>
      <c r="AL86" s="32">
        <v>134</v>
      </c>
    </row>
    <row r="87" spans="1:38" x14ac:dyDescent="0.3">
      <c r="A87" s="32">
        <v>86</v>
      </c>
      <c r="B87" s="32">
        <v>62</v>
      </c>
      <c r="C87" s="32">
        <v>30</v>
      </c>
      <c r="D87" s="32">
        <v>137</v>
      </c>
      <c r="E87" s="32">
        <v>157</v>
      </c>
      <c r="F87" s="32" t="s">
        <v>8</v>
      </c>
      <c r="G87" s="32">
        <v>57</v>
      </c>
      <c r="AK87" s="32">
        <v>55</v>
      </c>
      <c r="AL87" s="32">
        <v>135</v>
      </c>
    </row>
    <row r="88" spans="1:38" x14ac:dyDescent="0.3">
      <c r="A88" s="32">
        <v>87</v>
      </c>
      <c r="B88" s="32">
        <v>63</v>
      </c>
      <c r="C88" s="32">
        <v>31</v>
      </c>
      <c r="D88" s="32">
        <v>138</v>
      </c>
      <c r="E88" s="32">
        <v>158</v>
      </c>
      <c r="F88" s="32" t="s">
        <v>9</v>
      </c>
      <c r="G88" s="32">
        <v>58</v>
      </c>
      <c r="AK88" s="32">
        <v>56</v>
      </c>
      <c r="AL88" s="32">
        <v>136</v>
      </c>
    </row>
    <row r="89" spans="1:38" x14ac:dyDescent="0.3">
      <c r="A89" s="32">
        <v>88</v>
      </c>
      <c r="B89" s="32">
        <v>64</v>
      </c>
      <c r="C89" s="32">
        <v>32</v>
      </c>
      <c r="D89" s="32">
        <v>139</v>
      </c>
      <c r="E89" s="32">
        <v>159</v>
      </c>
      <c r="F89" s="32" t="s">
        <v>7</v>
      </c>
      <c r="G89" s="32">
        <v>59</v>
      </c>
      <c r="AK89" s="32">
        <v>57</v>
      </c>
      <c r="AL89" s="32">
        <v>137</v>
      </c>
    </row>
    <row r="90" spans="1:38" x14ac:dyDescent="0.3">
      <c r="A90" s="32">
        <v>89</v>
      </c>
      <c r="B90" s="32">
        <v>20</v>
      </c>
      <c r="C90" s="32">
        <v>18</v>
      </c>
      <c r="D90" s="32">
        <v>140</v>
      </c>
      <c r="E90" s="32">
        <v>160</v>
      </c>
      <c r="F90" s="32" t="s">
        <v>8</v>
      </c>
      <c r="G90" s="32">
        <v>60</v>
      </c>
      <c r="AK90" s="32">
        <v>58</v>
      </c>
      <c r="AL90" s="32">
        <v>138</v>
      </c>
    </row>
    <row r="91" spans="1:38" x14ac:dyDescent="0.3">
      <c r="A91" s="32">
        <v>90</v>
      </c>
      <c r="B91" s="32">
        <v>21</v>
      </c>
      <c r="C91" s="32">
        <v>19</v>
      </c>
      <c r="D91" s="32">
        <v>141</v>
      </c>
      <c r="E91" s="32">
        <v>161</v>
      </c>
      <c r="F91" s="32" t="s">
        <v>9</v>
      </c>
      <c r="G91" s="32">
        <v>61</v>
      </c>
      <c r="AK91" s="32">
        <v>59</v>
      </c>
      <c r="AL91" s="32">
        <v>139</v>
      </c>
    </row>
    <row r="92" spans="1:38" x14ac:dyDescent="0.3">
      <c r="A92" s="32">
        <v>91</v>
      </c>
      <c r="B92" s="32">
        <v>22</v>
      </c>
      <c r="C92" s="32">
        <v>20</v>
      </c>
      <c r="D92" s="32">
        <v>142</v>
      </c>
      <c r="E92" s="32">
        <v>162</v>
      </c>
      <c r="F92" s="32" t="s">
        <v>7</v>
      </c>
      <c r="G92" s="32">
        <v>62</v>
      </c>
      <c r="AK92" s="32">
        <v>60</v>
      </c>
      <c r="AL92" s="32">
        <v>140</v>
      </c>
    </row>
    <row r="93" spans="1:38" x14ac:dyDescent="0.3">
      <c r="A93" s="32">
        <v>92</v>
      </c>
      <c r="B93" s="32">
        <v>23</v>
      </c>
      <c r="C93" s="32">
        <v>21</v>
      </c>
      <c r="D93" s="32">
        <v>143</v>
      </c>
      <c r="E93" s="32">
        <v>163</v>
      </c>
      <c r="F93" s="32" t="s">
        <v>8</v>
      </c>
      <c r="G93" s="32">
        <v>63</v>
      </c>
      <c r="AK93" s="32">
        <v>61</v>
      </c>
      <c r="AL93" s="32">
        <v>141</v>
      </c>
    </row>
    <row r="94" spans="1:38" x14ac:dyDescent="0.3">
      <c r="A94" s="32">
        <v>93</v>
      </c>
      <c r="B94" s="32">
        <v>24</v>
      </c>
      <c r="C94" s="32">
        <v>22</v>
      </c>
      <c r="D94" s="32">
        <v>144</v>
      </c>
      <c r="E94" s="32">
        <v>164</v>
      </c>
      <c r="F94" s="32" t="s">
        <v>9</v>
      </c>
      <c r="G94" s="32">
        <v>64</v>
      </c>
      <c r="AK94" s="32">
        <v>62</v>
      </c>
      <c r="AL94" s="32">
        <v>142</v>
      </c>
    </row>
    <row r="95" spans="1:38" x14ac:dyDescent="0.3">
      <c r="A95" s="32">
        <v>94</v>
      </c>
      <c r="B95" s="32">
        <v>25</v>
      </c>
      <c r="C95" s="32">
        <v>23</v>
      </c>
      <c r="D95" s="32">
        <v>145</v>
      </c>
      <c r="E95" s="32">
        <v>165</v>
      </c>
      <c r="F95" s="32" t="s">
        <v>7</v>
      </c>
      <c r="G95" s="32">
        <v>65</v>
      </c>
      <c r="AK95" s="32">
        <v>63</v>
      </c>
      <c r="AL95" s="32">
        <v>143</v>
      </c>
    </row>
    <row r="96" spans="1:38" x14ac:dyDescent="0.3">
      <c r="A96" s="32">
        <v>95</v>
      </c>
      <c r="B96" s="32">
        <v>26</v>
      </c>
      <c r="C96" s="32">
        <v>24</v>
      </c>
      <c r="D96" s="32">
        <v>146</v>
      </c>
      <c r="E96" s="32">
        <v>166</v>
      </c>
      <c r="F96" s="32" t="s">
        <v>8</v>
      </c>
      <c r="G96" s="32">
        <v>66</v>
      </c>
      <c r="AK96" s="32">
        <v>64</v>
      </c>
      <c r="AL96" s="32">
        <v>144</v>
      </c>
    </row>
    <row r="97" spans="1:38" x14ac:dyDescent="0.3">
      <c r="A97" s="32">
        <v>96</v>
      </c>
      <c r="B97" s="32">
        <v>27</v>
      </c>
      <c r="C97" s="32">
        <v>25</v>
      </c>
      <c r="D97" s="32">
        <v>147</v>
      </c>
      <c r="E97" s="32">
        <v>167</v>
      </c>
      <c r="F97" s="32" t="s">
        <v>9</v>
      </c>
      <c r="G97" s="32">
        <v>67</v>
      </c>
      <c r="AK97" s="32">
        <v>20</v>
      </c>
      <c r="AL97" s="32">
        <v>145</v>
      </c>
    </row>
    <row r="98" spans="1:38" x14ac:dyDescent="0.3">
      <c r="A98" s="32">
        <v>97</v>
      </c>
      <c r="B98" s="32">
        <v>28</v>
      </c>
      <c r="C98" s="32">
        <v>26</v>
      </c>
      <c r="D98" s="32">
        <v>148</v>
      </c>
      <c r="E98" s="32">
        <v>168</v>
      </c>
      <c r="F98" s="32" t="s">
        <v>7</v>
      </c>
      <c r="G98" s="32">
        <v>68</v>
      </c>
      <c r="AK98" s="32">
        <v>21</v>
      </c>
      <c r="AL98" s="32">
        <v>146</v>
      </c>
    </row>
    <row r="99" spans="1:38" x14ac:dyDescent="0.3">
      <c r="A99" s="32">
        <v>98</v>
      </c>
      <c r="B99" s="32">
        <v>29</v>
      </c>
      <c r="C99" s="32">
        <v>27</v>
      </c>
      <c r="D99" s="32">
        <v>149</v>
      </c>
      <c r="E99" s="32">
        <v>169</v>
      </c>
      <c r="F99" s="32" t="s">
        <v>8</v>
      </c>
      <c r="G99" s="32">
        <v>69</v>
      </c>
      <c r="AK99" s="32">
        <v>22</v>
      </c>
      <c r="AL99" s="32">
        <v>147</v>
      </c>
    </row>
    <row r="100" spans="1:38" x14ac:dyDescent="0.3">
      <c r="A100" s="32">
        <v>99</v>
      </c>
      <c r="B100" s="32">
        <v>30</v>
      </c>
      <c r="C100" s="32">
        <v>28</v>
      </c>
      <c r="D100" s="32">
        <v>100</v>
      </c>
      <c r="E100" s="32">
        <v>170</v>
      </c>
      <c r="F100" s="32" t="s">
        <v>9</v>
      </c>
      <c r="G100" s="32">
        <v>70</v>
      </c>
      <c r="AK100" s="32">
        <v>23</v>
      </c>
      <c r="AL100" s="32">
        <v>148</v>
      </c>
    </row>
    <row r="101" spans="1:38" x14ac:dyDescent="0.3">
      <c r="A101" s="32">
        <v>100</v>
      </c>
      <c r="B101" s="32">
        <v>31</v>
      </c>
      <c r="C101" s="32">
        <v>29</v>
      </c>
      <c r="D101" s="32">
        <v>101</v>
      </c>
      <c r="E101" s="32">
        <v>171</v>
      </c>
      <c r="F101" s="32" t="s">
        <v>7</v>
      </c>
      <c r="G101" s="32">
        <v>71</v>
      </c>
      <c r="AK101" s="32">
        <v>24</v>
      </c>
      <c r="AL101" s="32">
        <v>149</v>
      </c>
    </row>
    <row r="102" spans="1:38" x14ac:dyDescent="0.3">
      <c r="A102" s="32">
        <v>101</v>
      </c>
      <c r="B102" s="32">
        <v>32</v>
      </c>
      <c r="C102" s="32">
        <v>30</v>
      </c>
      <c r="D102" s="32">
        <v>102</v>
      </c>
      <c r="E102" s="32">
        <v>172</v>
      </c>
      <c r="F102" s="32" t="s">
        <v>8</v>
      </c>
      <c r="G102" s="32">
        <v>72</v>
      </c>
      <c r="AK102" s="32">
        <v>25</v>
      </c>
      <c r="AL102" s="32">
        <v>100</v>
      </c>
    </row>
    <row r="103" spans="1:38" x14ac:dyDescent="0.3">
      <c r="A103" s="32">
        <v>102</v>
      </c>
      <c r="B103" s="32">
        <v>33</v>
      </c>
      <c r="C103" s="32">
        <v>31</v>
      </c>
      <c r="D103" s="32">
        <v>103</v>
      </c>
      <c r="E103" s="32">
        <v>173</v>
      </c>
      <c r="F103" s="32" t="s">
        <v>9</v>
      </c>
      <c r="G103" s="32">
        <v>73</v>
      </c>
    </row>
    <row r="104" spans="1:38" x14ac:dyDescent="0.3">
      <c r="A104" s="32">
        <v>103</v>
      </c>
      <c r="B104" s="32">
        <v>34</v>
      </c>
      <c r="C104" s="32">
        <v>32</v>
      </c>
      <c r="D104" s="32">
        <v>104</v>
      </c>
      <c r="E104" s="32">
        <v>174</v>
      </c>
      <c r="F104" s="32" t="s">
        <v>7</v>
      </c>
      <c r="G104" s="32">
        <v>74</v>
      </c>
    </row>
    <row r="105" spans="1:38" x14ac:dyDescent="0.3">
      <c r="A105" s="32">
        <v>104</v>
      </c>
      <c r="B105" s="32">
        <v>35</v>
      </c>
      <c r="C105" s="32">
        <v>18</v>
      </c>
      <c r="D105" s="32">
        <v>105</v>
      </c>
      <c r="E105" s="32">
        <v>175</v>
      </c>
      <c r="F105" s="32" t="s">
        <v>8</v>
      </c>
      <c r="G105" s="32">
        <v>75</v>
      </c>
    </row>
    <row r="106" spans="1:38" x14ac:dyDescent="0.3">
      <c r="A106" s="32">
        <v>105</v>
      </c>
      <c r="B106" s="32">
        <v>36</v>
      </c>
      <c r="C106" s="32">
        <v>19</v>
      </c>
      <c r="D106" s="32">
        <v>106</v>
      </c>
      <c r="E106" s="32">
        <v>176</v>
      </c>
      <c r="F106" s="32" t="s">
        <v>9</v>
      </c>
      <c r="G106" s="32">
        <v>76</v>
      </c>
    </row>
    <row r="107" spans="1:38" x14ac:dyDescent="0.3">
      <c r="A107" s="32">
        <v>106</v>
      </c>
      <c r="B107" s="32">
        <v>37</v>
      </c>
      <c r="C107" s="32">
        <v>20</v>
      </c>
      <c r="D107" s="32">
        <v>107</v>
      </c>
      <c r="E107" s="32">
        <v>177</v>
      </c>
      <c r="F107" s="32" t="s">
        <v>7</v>
      </c>
      <c r="G107" s="32">
        <v>77</v>
      </c>
    </row>
    <row r="108" spans="1:38" x14ac:dyDescent="0.3">
      <c r="A108" s="32">
        <v>107</v>
      </c>
      <c r="B108" s="32">
        <v>38</v>
      </c>
      <c r="C108" s="32">
        <v>21</v>
      </c>
      <c r="D108" s="32">
        <v>108</v>
      </c>
      <c r="E108" s="32">
        <v>178</v>
      </c>
      <c r="F108" s="32" t="s">
        <v>8</v>
      </c>
      <c r="G108" s="32">
        <v>78</v>
      </c>
    </row>
    <row r="109" spans="1:38" x14ac:dyDescent="0.3">
      <c r="A109" s="32">
        <v>108</v>
      </c>
      <c r="B109" s="32">
        <v>39</v>
      </c>
      <c r="C109" s="32">
        <v>22</v>
      </c>
      <c r="D109" s="32">
        <v>109</v>
      </c>
      <c r="E109" s="32">
        <v>179</v>
      </c>
      <c r="F109" s="32" t="s">
        <v>9</v>
      </c>
      <c r="G109" s="32">
        <v>79</v>
      </c>
    </row>
    <row r="110" spans="1:38" x14ac:dyDescent="0.3">
      <c r="A110" s="32">
        <v>109</v>
      </c>
      <c r="B110" s="32">
        <v>40</v>
      </c>
      <c r="C110" s="32">
        <v>23</v>
      </c>
      <c r="D110" s="32">
        <v>110</v>
      </c>
      <c r="E110" s="32">
        <v>180</v>
      </c>
      <c r="F110" s="32" t="s">
        <v>7</v>
      </c>
      <c r="G110" s="32">
        <v>80</v>
      </c>
    </row>
    <row r="111" spans="1:38" x14ac:dyDescent="0.3">
      <c r="A111" s="32">
        <v>110</v>
      </c>
      <c r="B111" s="32">
        <v>41</v>
      </c>
      <c r="C111" s="32">
        <v>24</v>
      </c>
      <c r="D111" s="32">
        <v>111</v>
      </c>
      <c r="E111" s="32">
        <v>181</v>
      </c>
      <c r="F111" s="32" t="s">
        <v>8</v>
      </c>
      <c r="G111" s="32">
        <v>81</v>
      </c>
    </row>
    <row r="112" spans="1:38" x14ac:dyDescent="0.3">
      <c r="A112" s="32">
        <v>111</v>
      </c>
      <c r="B112" s="32">
        <v>42</v>
      </c>
      <c r="C112" s="32">
        <v>25</v>
      </c>
      <c r="D112" s="32">
        <v>112</v>
      </c>
      <c r="E112" s="32">
        <v>182</v>
      </c>
      <c r="F112" s="32" t="s">
        <v>9</v>
      </c>
      <c r="G112" s="32">
        <v>82</v>
      </c>
    </row>
    <row r="113" spans="1:7" x14ac:dyDescent="0.3">
      <c r="A113" s="32">
        <v>112</v>
      </c>
      <c r="B113" s="32">
        <v>43</v>
      </c>
      <c r="C113" s="32">
        <v>26</v>
      </c>
      <c r="D113" s="32">
        <v>113</v>
      </c>
      <c r="E113" s="32">
        <v>183</v>
      </c>
      <c r="F113" s="32" t="s">
        <v>7</v>
      </c>
      <c r="G113" s="32">
        <v>83</v>
      </c>
    </row>
    <row r="114" spans="1:7" x14ac:dyDescent="0.3">
      <c r="A114" s="32">
        <v>113</v>
      </c>
      <c r="B114" s="32">
        <v>44</v>
      </c>
      <c r="C114" s="32">
        <v>27</v>
      </c>
      <c r="D114" s="32">
        <v>114</v>
      </c>
      <c r="E114" s="32">
        <v>184</v>
      </c>
      <c r="F114" s="32" t="s">
        <v>8</v>
      </c>
      <c r="G114" s="32">
        <v>84</v>
      </c>
    </row>
    <row r="115" spans="1:7" x14ac:dyDescent="0.3">
      <c r="A115" s="32">
        <v>114</v>
      </c>
      <c r="B115" s="32">
        <v>45</v>
      </c>
      <c r="C115" s="32">
        <v>28</v>
      </c>
      <c r="D115" s="32">
        <v>115</v>
      </c>
      <c r="E115" s="32">
        <v>185</v>
      </c>
      <c r="F115" s="32" t="s">
        <v>9</v>
      </c>
      <c r="G115" s="32">
        <v>85</v>
      </c>
    </row>
    <row r="116" spans="1:7" x14ac:dyDescent="0.3">
      <c r="A116" s="32">
        <v>115</v>
      </c>
      <c r="B116" s="32">
        <v>46</v>
      </c>
      <c r="C116" s="32">
        <v>29</v>
      </c>
      <c r="D116" s="32">
        <v>116</v>
      </c>
      <c r="E116" s="32">
        <v>186</v>
      </c>
      <c r="F116" s="32" t="s">
        <v>7</v>
      </c>
      <c r="G116" s="32">
        <v>86</v>
      </c>
    </row>
    <row r="117" spans="1:7" x14ac:dyDescent="0.3">
      <c r="A117" s="32">
        <v>116</v>
      </c>
      <c r="B117" s="32">
        <v>47</v>
      </c>
      <c r="C117" s="32">
        <v>30</v>
      </c>
      <c r="D117" s="32">
        <v>117</v>
      </c>
      <c r="E117" s="32">
        <v>187</v>
      </c>
      <c r="F117" s="32" t="s">
        <v>8</v>
      </c>
      <c r="G117" s="32">
        <v>87</v>
      </c>
    </row>
    <row r="118" spans="1:7" x14ac:dyDescent="0.3">
      <c r="A118" s="32">
        <v>117</v>
      </c>
      <c r="B118" s="32">
        <v>48</v>
      </c>
      <c r="C118" s="32">
        <v>31</v>
      </c>
      <c r="D118" s="32">
        <v>118</v>
      </c>
      <c r="E118" s="32">
        <v>188</v>
      </c>
      <c r="F118" s="32" t="s">
        <v>9</v>
      </c>
      <c r="G118" s="32">
        <v>88</v>
      </c>
    </row>
    <row r="119" spans="1:7" x14ac:dyDescent="0.3">
      <c r="A119" s="32">
        <v>118</v>
      </c>
      <c r="B119" s="32">
        <v>49</v>
      </c>
      <c r="C119" s="32">
        <v>32</v>
      </c>
      <c r="D119" s="32">
        <v>119</v>
      </c>
      <c r="E119" s="32">
        <v>189</v>
      </c>
      <c r="F119" s="32" t="s">
        <v>7</v>
      </c>
      <c r="G119" s="32">
        <v>89</v>
      </c>
    </row>
    <row r="120" spans="1:7" x14ac:dyDescent="0.3">
      <c r="A120" s="32">
        <v>119</v>
      </c>
      <c r="B120" s="32">
        <v>50</v>
      </c>
      <c r="C120" s="32">
        <v>18</v>
      </c>
      <c r="D120" s="32">
        <v>120</v>
      </c>
      <c r="E120" s="32">
        <v>190</v>
      </c>
      <c r="F120" s="32" t="s">
        <v>8</v>
      </c>
      <c r="G120" s="32">
        <v>50</v>
      </c>
    </row>
    <row r="121" spans="1:7" x14ac:dyDescent="0.3">
      <c r="A121" s="32">
        <v>120</v>
      </c>
      <c r="B121" s="32">
        <v>51</v>
      </c>
      <c r="C121" s="32">
        <v>19</v>
      </c>
      <c r="D121" s="32">
        <v>121</v>
      </c>
      <c r="E121" s="32">
        <v>191</v>
      </c>
      <c r="F121" s="32" t="s">
        <v>9</v>
      </c>
      <c r="G121" s="32">
        <v>51</v>
      </c>
    </row>
    <row r="122" spans="1:7" x14ac:dyDescent="0.3">
      <c r="A122" s="32">
        <v>121</v>
      </c>
      <c r="B122" s="32">
        <v>52</v>
      </c>
      <c r="C122" s="32">
        <v>20</v>
      </c>
      <c r="D122" s="32">
        <v>122</v>
      </c>
      <c r="E122" s="32">
        <v>192</v>
      </c>
      <c r="F122" s="32" t="s">
        <v>7</v>
      </c>
      <c r="G122" s="32">
        <v>52</v>
      </c>
    </row>
    <row r="123" spans="1:7" x14ac:dyDescent="0.3">
      <c r="A123" s="32">
        <v>122</v>
      </c>
      <c r="B123" s="32">
        <v>53</v>
      </c>
      <c r="C123" s="32">
        <v>21</v>
      </c>
      <c r="D123" s="32">
        <v>123</v>
      </c>
      <c r="E123" s="32">
        <v>193</v>
      </c>
      <c r="F123" s="32" t="s">
        <v>8</v>
      </c>
      <c r="G123" s="32">
        <v>53</v>
      </c>
    </row>
    <row r="124" spans="1:7" x14ac:dyDescent="0.3">
      <c r="A124" s="32">
        <v>123</v>
      </c>
      <c r="B124" s="32">
        <v>54</v>
      </c>
      <c r="C124" s="32">
        <v>22</v>
      </c>
      <c r="D124" s="32">
        <v>124</v>
      </c>
      <c r="E124" s="32">
        <v>194</v>
      </c>
      <c r="F124" s="32" t="s">
        <v>9</v>
      </c>
      <c r="G124" s="32">
        <v>54</v>
      </c>
    </row>
    <row r="125" spans="1:7" x14ac:dyDescent="0.3">
      <c r="A125" s="32">
        <v>124</v>
      </c>
      <c r="B125" s="32">
        <v>55</v>
      </c>
      <c r="C125" s="32">
        <v>23</v>
      </c>
      <c r="D125" s="32">
        <v>125</v>
      </c>
      <c r="E125" s="32">
        <v>195</v>
      </c>
      <c r="F125" s="32" t="s">
        <v>7</v>
      </c>
      <c r="G125" s="32">
        <v>55</v>
      </c>
    </row>
    <row r="126" spans="1:7" x14ac:dyDescent="0.3">
      <c r="A126" s="32">
        <v>125</v>
      </c>
      <c r="B126" s="32">
        <v>56</v>
      </c>
      <c r="C126" s="32">
        <v>24</v>
      </c>
      <c r="D126" s="32">
        <v>126</v>
      </c>
      <c r="E126" s="32">
        <v>196</v>
      </c>
      <c r="F126" s="32" t="s">
        <v>8</v>
      </c>
      <c r="G126" s="32">
        <v>56</v>
      </c>
    </row>
    <row r="127" spans="1:7" x14ac:dyDescent="0.3">
      <c r="A127" s="32">
        <v>126</v>
      </c>
      <c r="B127" s="32">
        <v>57</v>
      </c>
      <c r="C127" s="32">
        <v>25</v>
      </c>
      <c r="D127" s="32">
        <v>127</v>
      </c>
      <c r="E127" s="32">
        <v>197</v>
      </c>
      <c r="F127" s="32" t="s">
        <v>9</v>
      </c>
      <c r="G127" s="32">
        <v>57</v>
      </c>
    </row>
    <row r="128" spans="1:7" x14ac:dyDescent="0.3">
      <c r="A128" s="32">
        <v>127</v>
      </c>
      <c r="B128" s="32">
        <v>58</v>
      </c>
      <c r="C128" s="32">
        <v>26</v>
      </c>
      <c r="D128" s="32">
        <v>128</v>
      </c>
      <c r="E128" s="32">
        <v>198</v>
      </c>
      <c r="F128" s="32" t="s">
        <v>7</v>
      </c>
      <c r="G128" s="32">
        <v>58</v>
      </c>
    </row>
    <row r="129" spans="1:7" x14ac:dyDescent="0.3">
      <c r="A129" s="32">
        <v>128</v>
      </c>
      <c r="B129" s="32">
        <v>59</v>
      </c>
      <c r="C129" s="32">
        <v>27</v>
      </c>
      <c r="D129" s="32">
        <v>129</v>
      </c>
      <c r="E129" s="32">
        <v>199</v>
      </c>
      <c r="F129" s="32" t="s">
        <v>8</v>
      </c>
      <c r="G129" s="32">
        <v>59</v>
      </c>
    </row>
    <row r="130" spans="1:7" x14ac:dyDescent="0.3">
      <c r="A130" s="32">
        <v>129</v>
      </c>
      <c r="B130" s="32">
        <v>60</v>
      </c>
      <c r="C130" s="32">
        <v>28</v>
      </c>
      <c r="D130" s="32">
        <v>130</v>
      </c>
      <c r="E130" s="32">
        <v>200</v>
      </c>
      <c r="F130" s="32" t="s">
        <v>9</v>
      </c>
      <c r="G130" s="32">
        <v>60</v>
      </c>
    </row>
    <row r="131" spans="1:7" x14ac:dyDescent="0.3">
      <c r="A131" s="32">
        <v>130</v>
      </c>
      <c r="B131" s="32">
        <v>61</v>
      </c>
      <c r="C131" s="32">
        <v>29</v>
      </c>
      <c r="D131" s="32">
        <v>131</v>
      </c>
      <c r="E131" s="32">
        <v>201</v>
      </c>
      <c r="F131" s="32" t="s">
        <v>7</v>
      </c>
      <c r="G131" s="32">
        <v>61</v>
      </c>
    </row>
    <row r="132" spans="1:7" x14ac:dyDescent="0.3">
      <c r="A132" s="32">
        <v>131</v>
      </c>
      <c r="B132" s="32">
        <v>62</v>
      </c>
      <c r="C132" s="32">
        <v>30</v>
      </c>
      <c r="D132" s="32">
        <v>132</v>
      </c>
      <c r="E132" s="32">
        <v>202</v>
      </c>
      <c r="F132" s="32" t="s">
        <v>8</v>
      </c>
      <c r="G132" s="32">
        <v>62</v>
      </c>
    </row>
    <row r="133" spans="1:7" x14ac:dyDescent="0.3">
      <c r="A133" s="32">
        <v>132</v>
      </c>
      <c r="B133" s="32">
        <v>63</v>
      </c>
      <c r="C133" s="32">
        <v>31</v>
      </c>
      <c r="D133" s="32">
        <v>133</v>
      </c>
      <c r="E133" s="32">
        <v>203</v>
      </c>
      <c r="F133" s="32" t="s">
        <v>9</v>
      </c>
      <c r="G133" s="32">
        <v>63</v>
      </c>
    </row>
    <row r="134" spans="1:7" x14ac:dyDescent="0.3">
      <c r="A134" s="32">
        <v>133</v>
      </c>
      <c r="B134" s="32">
        <v>64</v>
      </c>
      <c r="C134" s="32">
        <v>32</v>
      </c>
      <c r="D134" s="32">
        <v>134</v>
      </c>
      <c r="E134" s="32">
        <v>204</v>
      </c>
      <c r="F134" s="32" t="s">
        <v>7</v>
      </c>
      <c r="G134" s="32">
        <v>64</v>
      </c>
    </row>
    <row r="135" spans="1:7" x14ac:dyDescent="0.3">
      <c r="A135" s="32">
        <v>134</v>
      </c>
      <c r="B135" s="32">
        <v>20</v>
      </c>
      <c r="C135" s="32">
        <v>18</v>
      </c>
      <c r="D135" s="32">
        <v>135</v>
      </c>
      <c r="E135" s="32">
        <v>205</v>
      </c>
      <c r="F135" s="32" t="s">
        <v>8</v>
      </c>
      <c r="G135" s="32">
        <v>65</v>
      </c>
    </row>
    <row r="136" spans="1:7" x14ac:dyDescent="0.3">
      <c r="A136" s="32">
        <v>135</v>
      </c>
      <c r="B136" s="32">
        <v>21</v>
      </c>
      <c r="C136" s="32">
        <v>19</v>
      </c>
      <c r="D136" s="32">
        <v>136</v>
      </c>
      <c r="E136" s="32">
        <v>206</v>
      </c>
      <c r="F136" s="32" t="s">
        <v>9</v>
      </c>
      <c r="G136" s="32">
        <v>66</v>
      </c>
    </row>
    <row r="137" spans="1:7" x14ac:dyDescent="0.3">
      <c r="A137" s="32">
        <v>136</v>
      </c>
      <c r="B137" s="32">
        <v>22</v>
      </c>
      <c r="C137" s="32">
        <v>20</v>
      </c>
      <c r="D137" s="32">
        <v>137</v>
      </c>
      <c r="E137" s="32">
        <v>207</v>
      </c>
      <c r="F137" s="32" t="s">
        <v>7</v>
      </c>
      <c r="G137" s="32">
        <v>67</v>
      </c>
    </row>
    <row r="138" spans="1:7" x14ac:dyDescent="0.3">
      <c r="A138" s="32">
        <v>137</v>
      </c>
      <c r="B138" s="32">
        <v>23</v>
      </c>
      <c r="C138" s="32">
        <v>21</v>
      </c>
      <c r="D138" s="32">
        <v>138</v>
      </c>
      <c r="E138" s="32">
        <v>208</v>
      </c>
      <c r="F138" s="32" t="s">
        <v>8</v>
      </c>
      <c r="G138" s="32">
        <v>68</v>
      </c>
    </row>
    <row r="139" spans="1:7" x14ac:dyDescent="0.3">
      <c r="A139" s="32">
        <v>138</v>
      </c>
      <c r="B139" s="32">
        <v>24</v>
      </c>
      <c r="C139" s="32">
        <v>22</v>
      </c>
      <c r="D139" s="32">
        <v>139</v>
      </c>
      <c r="E139" s="32">
        <v>209</v>
      </c>
      <c r="F139" s="32" t="s">
        <v>9</v>
      </c>
      <c r="G139" s="32">
        <v>69</v>
      </c>
    </row>
    <row r="140" spans="1:7" x14ac:dyDescent="0.3">
      <c r="A140" s="32">
        <v>139</v>
      </c>
      <c r="B140" s="32">
        <v>25</v>
      </c>
      <c r="C140" s="32">
        <v>23</v>
      </c>
      <c r="D140" s="32">
        <v>140</v>
      </c>
      <c r="E140" s="32">
        <v>210</v>
      </c>
      <c r="F140" s="32" t="s">
        <v>7</v>
      </c>
      <c r="G140" s="32">
        <v>70</v>
      </c>
    </row>
    <row r="141" spans="1:7" x14ac:dyDescent="0.3">
      <c r="A141" s="32">
        <v>140</v>
      </c>
      <c r="B141" s="32">
        <v>26</v>
      </c>
      <c r="C141" s="32">
        <v>24</v>
      </c>
      <c r="D141" s="32">
        <v>141</v>
      </c>
      <c r="E141" s="32">
        <v>211</v>
      </c>
      <c r="F141" s="32" t="s">
        <v>8</v>
      </c>
      <c r="G141" s="32">
        <v>71</v>
      </c>
    </row>
    <row r="142" spans="1:7" x14ac:dyDescent="0.3">
      <c r="A142" s="32">
        <v>141</v>
      </c>
      <c r="B142" s="32">
        <v>27</v>
      </c>
      <c r="C142" s="32">
        <v>25</v>
      </c>
      <c r="D142" s="32">
        <v>142</v>
      </c>
      <c r="E142" s="32">
        <v>212</v>
      </c>
      <c r="F142" s="32" t="s">
        <v>9</v>
      </c>
      <c r="G142" s="32">
        <v>72</v>
      </c>
    </row>
    <row r="143" spans="1:7" x14ac:dyDescent="0.3">
      <c r="A143" s="32">
        <v>142</v>
      </c>
      <c r="B143" s="32">
        <v>28</v>
      </c>
      <c r="C143" s="32">
        <v>26</v>
      </c>
      <c r="D143" s="32">
        <v>143</v>
      </c>
      <c r="E143" s="32">
        <v>213</v>
      </c>
      <c r="F143" s="32" t="s">
        <v>7</v>
      </c>
      <c r="G143" s="32">
        <v>73</v>
      </c>
    </row>
    <row r="144" spans="1:7" x14ac:dyDescent="0.3">
      <c r="A144" s="32">
        <v>143</v>
      </c>
      <c r="B144" s="32">
        <v>29</v>
      </c>
      <c r="C144" s="32">
        <v>27</v>
      </c>
      <c r="D144" s="32">
        <v>144</v>
      </c>
      <c r="E144" s="32">
        <v>214</v>
      </c>
      <c r="F144" s="32" t="s">
        <v>8</v>
      </c>
      <c r="G144" s="32">
        <v>74</v>
      </c>
    </row>
    <row r="145" spans="1:7" x14ac:dyDescent="0.3">
      <c r="A145" s="32">
        <v>144</v>
      </c>
      <c r="B145" s="32">
        <v>30</v>
      </c>
      <c r="C145" s="32">
        <v>28</v>
      </c>
      <c r="D145" s="32">
        <v>145</v>
      </c>
      <c r="E145" s="32">
        <v>215</v>
      </c>
      <c r="F145" s="32" t="s">
        <v>9</v>
      </c>
      <c r="G145" s="32">
        <v>75</v>
      </c>
    </row>
    <row r="146" spans="1:7" x14ac:dyDescent="0.3">
      <c r="A146" s="32">
        <v>145</v>
      </c>
      <c r="B146" s="32">
        <v>31</v>
      </c>
      <c r="C146" s="32">
        <v>29</v>
      </c>
      <c r="D146" s="32">
        <v>146</v>
      </c>
      <c r="E146" s="32">
        <v>216</v>
      </c>
      <c r="F146" s="32" t="s">
        <v>7</v>
      </c>
      <c r="G146" s="32">
        <v>76</v>
      </c>
    </row>
    <row r="147" spans="1:7" x14ac:dyDescent="0.3">
      <c r="A147" s="32">
        <v>146</v>
      </c>
      <c r="B147" s="32">
        <v>32</v>
      </c>
      <c r="C147" s="32">
        <v>30</v>
      </c>
      <c r="D147" s="32">
        <v>147</v>
      </c>
      <c r="E147" s="32">
        <v>217</v>
      </c>
      <c r="F147" s="32" t="s">
        <v>8</v>
      </c>
      <c r="G147" s="32">
        <v>77</v>
      </c>
    </row>
    <row r="148" spans="1:7" x14ac:dyDescent="0.3">
      <c r="A148" s="32">
        <v>147</v>
      </c>
      <c r="B148" s="32">
        <v>33</v>
      </c>
      <c r="C148" s="32">
        <v>31</v>
      </c>
      <c r="D148" s="32">
        <v>148</v>
      </c>
      <c r="E148" s="32">
        <v>218</v>
      </c>
      <c r="F148" s="32" t="s">
        <v>9</v>
      </c>
      <c r="G148" s="32">
        <v>78</v>
      </c>
    </row>
    <row r="149" spans="1:7" x14ac:dyDescent="0.3">
      <c r="A149" s="32">
        <v>148</v>
      </c>
      <c r="B149" s="32">
        <v>34</v>
      </c>
      <c r="C149" s="32">
        <v>32</v>
      </c>
      <c r="D149" s="32">
        <v>149</v>
      </c>
      <c r="E149" s="32">
        <v>219</v>
      </c>
      <c r="F149" s="32" t="s">
        <v>7</v>
      </c>
      <c r="G149" s="32">
        <v>79</v>
      </c>
    </row>
    <row r="150" spans="1:7" x14ac:dyDescent="0.3">
      <c r="A150" s="32">
        <v>149</v>
      </c>
      <c r="B150" s="32">
        <v>35</v>
      </c>
      <c r="C150" s="32">
        <v>18</v>
      </c>
      <c r="D150" s="32">
        <v>100</v>
      </c>
      <c r="E150" s="32">
        <v>220</v>
      </c>
      <c r="F150" s="32" t="s">
        <v>8</v>
      </c>
      <c r="G150" s="32">
        <v>80</v>
      </c>
    </row>
    <row r="151" spans="1:7" x14ac:dyDescent="0.3">
      <c r="A151" s="32">
        <v>150</v>
      </c>
      <c r="B151" s="32">
        <v>36</v>
      </c>
      <c r="C151" s="32">
        <v>19</v>
      </c>
      <c r="D151" s="32">
        <v>101</v>
      </c>
      <c r="E151" s="32">
        <v>221</v>
      </c>
      <c r="F151" s="32" t="s">
        <v>9</v>
      </c>
      <c r="G151" s="32">
        <v>81</v>
      </c>
    </row>
    <row r="152" spans="1:7" x14ac:dyDescent="0.3">
      <c r="A152" s="32">
        <v>151</v>
      </c>
      <c r="B152" s="32">
        <v>37</v>
      </c>
      <c r="C152" s="32">
        <v>20</v>
      </c>
      <c r="D152" s="32">
        <v>102</v>
      </c>
      <c r="E152" s="32">
        <v>222</v>
      </c>
      <c r="F152" s="32" t="s">
        <v>7</v>
      </c>
      <c r="G152" s="32">
        <v>82</v>
      </c>
    </row>
    <row r="153" spans="1:7" x14ac:dyDescent="0.3">
      <c r="A153" s="32">
        <v>152</v>
      </c>
      <c r="B153" s="32">
        <v>38</v>
      </c>
      <c r="C153" s="32">
        <v>21</v>
      </c>
      <c r="D153" s="32">
        <v>103</v>
      </c>
      <c r="E153" s="32">
        <v>223</v>
      </c>
      <c r="F153" s="32" t="s">
        <v>8</v>
      </c>
      <c r="G153" s="32">
        <v>83</v>
      </c>
    </row>
    <row r="154" spans="1:7" x14ac:dyDescent="0.3">
      <c r="A154" s="32">
        <v>153</v>
      </c>
      <c r="B154" s="32">
        <v>39</v>
      </c>
      <c r="C154" s="32">
        <v>22</v>
      </c>
      <c r="D154" s="32">
        <v>104</v>
      </c>
      <c r="E154" s="32">
        <v>224</v>
      </c>
      <c r="F154" s="32" t="s">
        <v>9</v>
      </c>
      <c r="G154" s="32">
        <v>84</v>
      </c>
    </row>
    <row r="155" spans="1:7" x14ac:dyDescent="0.3">
      <c r="A155" s="32">
        <v>154</v>
      </c>
      <c r="B155" s="32">
        <v>40</v>
      </c>
      <c r="C155" s="32">
        <v>23</v>
      </c>
      <c r="D155" s="32">
        <v>105</v>
      </c>
      <c r="E155" s="32">
        <v>225</v>
      </c>
      <c r="F155" s="32" t="s">
        <v>7</v>
      </c>
      <c r="G155" s="32">
        <v>85</v>
      </c>
    </row>
    <row r="156" spans="1:7" x14ac:dyDescent="0.3">
      <c r="A156" s="32">
        <v>155</v>
      </c>
      <c r="B156" s="32">
        <v>41</v>
      </c>
      <c r="C156" s="32">
        <v>24</v>
      </c>
      <c r="D156" s="32">
        <v>106</v>
      </c>
      <c r="E156" s="32">
        <v>226</v>
      </c>
      <c r="F156" s="32" t="s">
        <v>8</v>
      </c>
      <c r="G156" s="32">
        <v>86</v>
      </c>
    </row>
    <row r="157" spans="1:7" x14ac:dyDescent="0.3">
      <c r="A157" s="32">
        <v>156</v>
      </c>
      <c r="B157" s="32">
        <v>42</v>
      </c>
      <c r="C157" s="32">
        <v>25</v>
      </c>
      <c r="D157" s="32">
        <v>107</v>
      </c>
      <c r="E157" s="32">
        <v>227</v>
      </c>
      <c r="F157" s="32" t="s">
        <v>9</v>
      </c>
      <c r="G157" s="32">
        <v>87</v>
      </c>
    </row>
    <row r="158" spans="1:7" x14ac:dyDescent="0.3">
      <c r="A158" s="32">
        <v>157</v>
      </c>
      <c r="B158" s="32">
        <v>43</v>
      </c>
      <c r="C158" s="32">
        <v>26</v>
      </c>
      <c r="D158" s="32">
        <v>108</v>
      </c>
      <c r="E158" s="32">
        <v>228</v>
      </c>
      <c r="F158" s="32" t="s">
        <v>7</v>
      </c>
      <c r="G158" s="32">
        <v>88</v>
      </c>
    </row>
    <row r="159" spans="1:7" x14ac:dyDescent="0.3">
      <c r="A159" s="32">
        <v>158</v>
      </c>
      <c r="B159" s="32">
        <v>44</v>
      </c>
      <c r="C159" s="32">
        <v>27</v>
      </c>
      <c r="D159" s="32">
        <v>109</v>
      </c>
      <c r="E159" s="32">
        <v>229</v>
      </c>
      <c r="F159" s="32" t="s">
        <v>8</v>
      </c>
      <c r="G159" s="32">
        <v>89</v>
      </c>
    </row>
    <row r="160" spans="1:7" x14ac:dyDescent="0.3">
      <c r="A160" s="32">
        <v>159</v>
      </c>
      <c r="B160" s="32">
        <v>45</v>
      </c>
      <c r="C160" s="32">
        <v>28</v>
      </c>
      <c r="D160" s="32">
        <v>110</v>
      </c>
      <c r="E160" s="32">
        <v>150</v>
      </c>
      <c r="F160" s="32" t="s">
        <v>9</v>
      </c>
      <c r="G160" s="32">
        <v>50</v>
      </c>
    </row>
    <row r="161" spans="1:7" x14ac:dyDescent="0.3">
      <c r="A161" s="32">
        <v>160</v>
      </c>
      <c r="B161" s="32">
        <v>46</v>
      </c>
      <c r="C161" s="32">
        <v>29</v>
      </c>
      <c r="D161" s="32">
        <v>111</v>
      </c>
      <c r="E161" s="32">
        <v>151</v>
      </c>
      <c r="F161" s="32" t="s">
        <v>7</v>
      </c>
      <c r="G161" s="32">
        <v>51</v>
      </c>
    </row>
    <row r="162" spans="1:7" x14ac:dyDescent="0.3">
      <c r="A162" s="32">
        <v>161</v>
      </c>
      <c r="B162" s="32">
        <v>47</v>
      </c>
      <c r="C162" s="32">
        <v>30</v>
      </c>
      <c r="D162" s="32">
        <v>112</v>
      </c>
      <c r="E162" s="32">
        <v>152</v>
      </c>
      <c r="F162" s="32" t="s">
        <v>8</v>
      </c>
      <c r="G162" s="32">
        <v>52</v>
      </c>
    </row>
    <row r="163" spans="1:7" x14ac:dyDescent="0.3">
      <c r="A163" s="32">
        <v>162</v>
      </c>
      <c r="B163" s="32">
        <v>48</v>
      </c>
      <c r="C163" s="32">
        <v>31</v>
      </c>
      <c r="D163" s="32">
        <v>113</v>
      </c>
      <c r="E163" s="32">
        <v>153</v>
      </c>
      <c r="F163" s="32" t="s">
        <v>9</v>
      </c>
      <c r="G163" s="32">
        <v>53</v>
      </c>
    </row>
    <row r="164" spans="1:7" x14ac:dyDescent="0.3">
      <c r="A164" s="32">
        <v>163</v>
      </c>
      <c r="B164" s="32">
        <v>49</v>
      </c>
      <c r="C164" s="32">
        <v>32</v>
      </c>
      <c r="D164" s="32">
        <v>114</v>
      </c>
      <c r="E164" s="32">
        <v>154</v>
      </c>
      <c r="F164" s="32" t="s">
        <v>7</v>
      </c>
      <c r="G164" s="32">
        <v>54</v>
      </c>
    </row>
    <row r="165" spans="1:7" x14ac:dyDescent="0.3">
      <c r="A165" s="32">
        <v>164</v>
      </c>
      <c r="B165" s="32">
        <v>50</v>
      </c>
      <c r="C165" s="32">
        <v>18</v>
      </c>
      <c r="D165" s="32">
        <v>115</v>
      </c>
      <c r="E165" s="32">
        <v>155</v>
      </c>
      <c r="F165" s="32" t="s">
        <v>8</v>
      </c>
      <c r="G165" s="32">
        <v>55</v>
      </c>
    </row>
    <row r="166" spans="1:7" x14ac:dyDescent="0.3">
      <c r="A166" s="32">
        <v>165</v>
      </c>
      <c r="B166" s="32">
        <v>51</v>
      </c>
      <c r="C166" s="32">
        <v>19</v>
      </c>
      <c r="D166" s="32">
        <v>116</v>
      </c>
      <c r="E166" s="32">
        <v>156</v>
      </c>
      <c r="F166" s="32" t="s">
        <v>9</v>
      </c>
      <c r="G166" s="32">
        <v>56</v>
      </c>
    </row>
    <row r="167" spans="1:7" x14ac:dyDescent="0.3">
      <c r="A167" s="32">
        <v>166</v>
      </c>
      <c r="B167" s="32">
        <v>52</v>
      </c>
      <c r="C167" s="32">
        <v>20</v>
      </c>
      <c r="D167" s="32">
        <v>117</v>
      </c>
      <c r="E167" s="32">
        <v>157</v>
      </c>
      <c r="F167" s="32" t="s">
        <v>7</v>
      </c>
      <c r="G167" s="32">
        <v>57</v>
      </c>
    </row>
    <row r="168" spans="1:7" x14ac:dyDescent="0.3">
      <c r="A168" s="32">
        <v>167</v>
      </c>
      <c r="B168" s="32">
        <v>53</v>
      </c>
      <c r="C168" s="32">
        <v>21</v>
      </c>
      <c r="D168" s="32">
        <v>118</v>
      </c>
      <c r="E168" s="32">
        <v>158</v>
      </c>
      <c r="F168" s="32" t="s">
        <v>8</v>
      </c>
      <c r="G168" s="32">
        <v>58</v>
      </c>
    </row>
    <row r="169" spans="1:7" x14ac:dyDescent="0.3">
      <c r="A169" s="32">
        <v>168</v>
      </c>
      <c r="B169" s="32">
        <v>54</v>
      </c>
      <c r="C169" s="32">
        <v>22</v>
      </c>
      <c r="D169" s="32">
        <v>119</v>
      </c>
      <c r="E169" s="32">
        <v>159</v>
      </c>
      <c r="F169" s="32" t="s">
        <v>9</v>
      </c>
      <c r="G169" s="32">
        <v>59</v>
      </c>
    </row>
    <row r="170" spans="1:7" x14ac:dyDescent="0.3">
      <c r="A170" s="32">
        <v>169</v>
      </c>
      <c r="B170" s="32">
        <v>55</v>
      </c>
      <c r="C170" s="32">
        <v>23</v>
      </c>
      <c r="D170" s="32">
        <v>120</v>
      </c>
      <c r="E170" s="32">
        <v>160</v>
      </c>
      <c r="F170" s="32" t="s">
        <v>7</v>
      </c>
      <c r="G170" s="32">
        <v>60</v>
      </c>
    </row>
    <row r="171" spans="1:7" x14ac:dyDescent="0.3">
      <c r="A171" s="32">
        <v>170</v>
      </c>
      <c r="B171" s="32">
        <v>56</v>
      </c>
      <c r="C171" s="32">
        <v>24</v>
      </c>
      <c r="D171" s="32">
        <v>121</v>
      </c>
      <c r="E171" s="32">
        <v>161</v>
      </c>
      <c r="F171" s="32" t="s">
        <v>8</v>
      </c>
      <c r="G171" s="32">
        <v>61</v>
      </c>
    </row>
    <row r="172" spans="1:7" x14ac:dyDescent="0.3">
      <c r="A172" s="32">
        <v>171</v>
      </c>
      <c r="B172" s="32">
        <v>57</v>
      </c>
      <c r="C172" s="32">
        <v>25</v>
      </c>
      <c r="D172" s="32">
        <v>122</v>
      </c>
      <c r="E172" s="32">
        <v>162</v>
      </c>
      <c r="F172" s="32" t="s">
        <v>9</v>
      </c>
      <c r="G172" s="32">
        <v>62</v>
      </c>
    </row>
    <row r="173" spans="1:7" x14ac:dyDescent="0.3">
      <c r="A173" s="32">
        <v>172</v>
      </c>
      <c r="B173" s="32">
        <v>58</v>
      </c>
      <c r="C173" s="32">
        <v>26</v>
      </c>
      <c r="D173" s="32">
        <v>123</v>
      </c>
      <c r="E173" s="32">
        <v>163</v>
      </c>
      <c r="F173" s="32" t="s">
        <v>7</v>
      </c>
      <c r="G173" s="32">
        <v>63</v>
      </c>
    </row>
    <row r="174" spans="1:7" x14ac:dyDescent="0.3">
      <c r="A174" s="32">
        <v>173</v>
      </c>
      <c r="B174" s="32">
        <v>59</v>
      </c>
      <c r="C174" s="32">
        <v>27</v>
      </c>
      <c r="D174" s="32">
        <v>124</v>
      </c>
      <c r="E174" s="32">
        <v>164</v>
      </c>
      <c r="F174" s="32" t="s">
        <v>8</v>
      </c>
      <c r="G174" s="32">
        <v>64</v>
      </c>
    </row>
    <row r="175" spans="1:7" x14ac:dyDescent="0.3">
      <c r="A175" s="32">
        <v>174</v>
      </c>
      <c r="B175" s="32">
        <v>60</v>
      </c>
      <c r="C175" s="32">
        <v>28</v>
      </c>
      <c r="D175" s="32">
        <v>125</v>
      </c>
      <c r="E175" s="32">
        <v>165</v>
      </c>
      <c r="F175" s="32" t="s">
        <v>9</v>
      </c>
      <c r="G175" s="32">
        <v>65</v>
      </c>
    </row>
    <row r="176" spans="1:7" x14ac:dyDescent="0.3">
      <c r="A176" s="32">
        <v>175</v>
      </c>
      <c r="B176" s="32">
        <v>61</v>
      </c>
      <c r="C176" s="32">
        <v>29</v>
      </c>
      <c r="D176" s="32">
        <v>126</v>
      </c>
      <c r="E176" s="32">
        <v>166</v>
      </c>
      <c r="F176" s="32" t="s">
        <v>7</v>
      </c>
      <c r="G176" s="32">
        <v>66</v>
      </c>
    </row>
    <row r="177" spans="1:7" x14ac:dyDescent="0.3">
      <c r="A177" s="32">
        <v>176</v>
      </c>
      <c r="B177" s="32">
        <v>62</v>
      </c>
      <c r="C177" s="32">
        <v>30</v>
      </c>
      <c r="D177" s="32">
        <v>127</v>
      </c>
      <c r="E177" s="32">
        <v>167</v>
      </c>
      <c r="F177" s="32" t="s">
        <v>8</v>
      </c>
      <c r="G177" s="32">
        <v>67</v>
      </c>
    </row>
    <row r="178" spans="1:7" x14ac:dyDescent="0.3">
      <c r="A178" s="32">
        <v>177</v>
      </c>
      <c r="B178" s="32">
        <v>63</v>
      </c>
      <c r="C178" s="32">
        <v>31</v>
      </c>
      <c r="D178" s="32">
        <v>128</v>
      </c>
      <c r="E178" s="32">
        <v>168</v>
      </c>
      <c r="F178" s="32" t="s">
        <v>9</v>
      </c>
      <c r="G178" s="32">
        <v>68</v>
      </c>
    </row>
    <row r="179" spans="1:7" x14ac:dyDescent="0.3">
      <c r="A179" s="32">
        <v>178</v>
      </c>
      <c r="B179" s="32">
        <v>64</v>
      </c>
      <c r="C179" s="32">
        <v>32</v>
      </c>
      <c r="D179" s="32">
        <v>129</v>
      </c>
      <c r="E179" s="32">
        <v>169</v>
      </c>
      <c r="F179" s="32" t="s">
        <v>7</v>
      </c>
      <c r="G179" s="32">
        <v>69</v>
      </c>
    </row>
    <row r="180" spans="1:7" x14ac:dyDescent="0.3">
      <c r="A180" s="32">
        <v>179</v>
      </c>
      <c r="B180" s="32">
        <v>20</v>
      </c>
      <c r="C180" s="32">
        <v>18</v>
      </c>
      <c r="D180" s="32">
        <v>130</v>
      </c>
      <c r="E180" s="32">
        <v>170</v>
      </c>
      <c r="F180" s="32" t="s">
        <v>8</v>
      </c>
      <c r="G180" s="32">
        <v>70</v>
      </c>
    </row>
    <row r="181" spans="1:7" x14ac:dyDescent="0.3">
      <c r="A181" s="32">
        <v>180</v>
      </c>
      <c r="B181" s="32">
        <v>21</v>
      </c>
      <c r="C181" s="32">
        <v>19</v>
      </c>
      <c r="D181" s="32">
        <v>131</v>
      </c>
      <c r="E181" s="32">
        <v>171</v>
      </c>
      <c r="F181" s="32" t="s">
        <v>9</v>
      </c>
      <c r="G181" s="32">
        <v>71</v>
      </c>
    </row>
    <row r="182" spans="1:7" x14ac:dyDescent="0.3">
      <c r="A182" s="32">
        <v>181</v>
      </c>
      <c r="B182" s="32">
        <v>22</v>
      </c>
      <c r="C182" s="32">
        <v>20</v>
      </c>
      <c r="D182" s="32">
        <v>132</v>
      </c>
      <c r="E182" s="32">
        <v>172</v>
      </c>
      <c r="F182" s="32" t="s">
        <v>7</v>
      </c>
      <c r="G182" s="32">
        <v>72</v>
      </c>
    </row>
    <row r="183" spans="1:7" x14ac:dyDescent="0.3">
      <c r="A183" s="32">
        <v>182</v>
      </c>
      <c r="B183" s="32">
        <v>23</v>
      </c>
      <c r="C183" s="32">
        <v>21</v>
      </c>
      <c r="D183" s="32">
        <v>133</v>
      </c>
      <c r="E183" s="32">
        <v>173</v>
      </c>
      <c r="F183" s="32" t="s">
        <v>8</v>
      </c>
      <c r="G183" s="32">
        <v>73</v>
      </c>
    </row>
    <row r="184" spans="1:7" x14ac:dyDescent="0.3">
      <c r="A184" s="32">
        <v>183</v>
      </c>
      <c r="B184" s="32">
        <v>24</v>
      </c>
      <c r="C184" s="32">
        <v>22</v>
      </c>
      <c r="D184" s="32">
        <v>134</v>
      </c>
      <c r="E184" s="32">
        <v>174</v>
      </c>
      <c r="F184" s="32" t="s">
        <v>9</v>
      </c>
      <c r="G184" s="32">
        <v>74</v>
      </c>
    </row>
    <row r="185" spans="1:7" x14ac:dyDescent="0.3">
      <c r="A185" s="32">
        <v>184</v>
      </c>
      <c r="B185" s="32">
        <v>25</v>
      </c>
      <c r="C185" s="32">
        <v>23</v>
      </c>
      <c r="D185" s="32">
        <v>135</v>
      </c>
      <c r="E185" s="32">
        <v>175</v>
      </c>
      <c r="F185" s="32" t="s">
        <v>7</v>
      </c>
      <c r="G185" s="32">
        <v>75</v>
      </c>
    </row>
    <row r="186" spans="1:7" x14ac:dyDescent="0.3">
      <c r="A186" s="32">
        <v>185</v>
      </c>
      <c r="B186" s="32">
        <v>26</v>
      </c>
      <c r="C186" s="32">
        <v>24</v>
      </c>
      <c r="D186" s="32">
        <v>136</v>
      </c>
      <c r="E186" s="32">
        <v>176</v>
      </c>
      <c r="F186" s="32" t="s">
        <v>8</v>
      </c>
      <c r="G186" s="32">
        <v>76</v>
      </c>
    </row>
    <row r="187" spans="1:7" x14ac:dyDescent="0.3">
      <c r="A187" s="32">
        <v>186</v>
      </c>
      <c r="B187" s="32">
        <v>27</v>
      </c>
      <c r="C187" s="32">
        <v>25</v>
      </c>
      <c r="D187" s="32">
        <v>137</v>
      </c>
      <c r="E187" s="32">
        <v>177</v>
      </c>
      <c r="F187" s="32" t="s">
        <v>9</v>
      </c>
      <c r="G187" s="32">
        <v>77</v>
      </c>
    </row>
    <row r="188" spans="1:7" x14ac:dyDescent="0.3">
      <c r="A188" s="32">
        <v>187</v>
      </c>
      <c r="B188" s="32">
        <v>28</v>
      </c>
      <c r="C188" s="32">
        <v>26</v>
      </c>
      <c r="D188" s="32">
        <v>138</v>
      </c>
      <c r="E188" s="32">
        <v>178</v>
      </c>
      <c r="F188" s="32" t="s">
        <v>7</v>
      </c>
      <c r="G188" s="32">
        <v>78</v>
      </c>
    </row>
    <row r="189" spans="1:7" x14ac:dyDescent="0.3">
      <c r="A189" s="32">
        <v>188</v>
      </c>
      <c r="B189" s="32">
        <v>29</v>
      </c>
      <c r="C189" s="32">
        <v>27</v>
      </c>
      <c r="D189" s="32">
        <v>139</v>
      </c>
      <c r="E189" s="32">
        <v>179</v>
      </c>
      <c r="F189" s="32" t="s">
        <v>8</v>
      </c>
      <c r="G189" s="32">
        <v>79</v>
      </c>
    </row>
    <row r="190" spans="1:7" x14ac:dyDescent="0.3">
      <c r="A190" s="32">
        <v>189</v>
      </c>
      <c r="B190" s="32">
        <v>30</v>
      </c>
      <c r="C190" s="32">
        <v>28</v>
      </c>
      <c r="D190" s="32">
        <v>140</v>
      </c>
      <c r="E190" s="32">
        <v>180</v>
      </c>
      <c r="F190" s="32" t="s">
        <v>9</v>
      </c>
      <c r="G190" s="32">
        <v>80</v>
      </c>
    </row>
    <row r="191" spans="1:7" x14ac:dyDescent="0.3">
      <c r="A191" s="32">
        <v>190</v>
      </c>
      <c r="B191" s="32">
        <v>31</v>
      </c>
      <c r="C191" s="32">
        <v>29</v>
      </c>
      <c r="D191" s="32">
        <v>141</v>
      </c>
      <c r="E191" s="32">
        <v>181</v>
      </c>
      <c r="F191" s="32" t="s">
        <v>7</v>
      </c>
      <c r="G191" s="32">
        <v>81</v>
      </c>
    </row>
    <row r="192" spans="1:7" x14ac:dyDescent="0.3">
      <c r="A192" s="32">
        <v>191</v>
      </c>
      <c r="B192" s="32">
        <v>32</v>
      </c>
      <c r="C192" s="32">
        <v>30</v>
      </c>
      <c r="D192" s="32">
        <v>142</v>
      </c>
      <c r="E192" s="32">
        <v>182</v>
      </c>
      <c r="F192" s="32" t="s">
        <v>8</v>
      </c>
      <c r="G192" s="32">
        <v>82</v>
      </c>
    </row>
    <row r="193" spans="1:7" x14ac:dyDescent="0.3">
      <c r="A193" s="32">
        <v>192</v>
      </c>
      <c r="B193" s="32">
        <v>33</v>
      </c>
      <c r="C193" s="32">
        <v>31</v>
      </c>
      <c r="D193" s="32">
        <v>143</v>
      </c>
      <c r="E193" s="32">
        <v>183</v>
      </c>
      <c r="F193" s="32" t="s">
        <v>9</v>
      </c>
      <c r="G193" s="32">
        <v>83</v>
      </c>
    </row>
    <row r="194" spans="1:7" x14ac:dyDescent="0.3">
      <c r="A194" s="32">
        <v>193</v>
      </c>
      <c r="B194" s="32">
        <v>34</v>
      </c>
      <c r="C194" s="32">
        <v>32</v>
      </c>
      <c r="D194" s="32">
        <v>144</v>
      </c>
      <c r="E194" s="32">
        <v>184</v>
      </c>
      <c r="F194" s="32" t="s">
        <v>7</v>
      </c>
      <c r="G194" s="32">
        <v>84</v>
      </c>
    </row>
    <row r="195" spans="1:7" x14ac:dyDescent="0.3">
      <c r="A195" s="32">
        <v>194</v>
      </c>
      <c r="B195" s="32">
        <v>35</v>
      </c>
      <c r="C195" s="32">
        <v>18</v>
      </c>
      <c r="D195" s="32">
        <v>145</v>
      </c>
      <c r="E195" s="32">
        <v>185</v>
      </c>
      <c r="F195" s="32" t="s">
        <v>8</v>
      </c>
      <c r="G195" s="32">
        <v>85</v>
      </c>
    </row>
    <row r="196" spans="1:7" x14ac:dyDescent="0.3">
      <c r="A196" s="32">
        <v>195</v>
      </c>
      <c r="B196" s="32">
        <v>36</v>
      </c>
      <c r="C196" s="32">
        <v>19</v>
      </c>
      <c r="D196" s="32">
        <v>146</v>
      </c>
      <c r="E196" s="32">
        <v>186</v>
      </c>
      <c r="F196" s="32" t="s">
        <v>9</v>
      </c>
      <c r="G196" s="32">
        <v>86</v>
      </c>
    </row>
    <row r="197" spans="1:7" x14ac:dyDescent="0.3">
      <c r="A197" s="32">
        <v>196</v>
      </c>
      <c r="B197" s="32">
        <v>37</v>
      </c>
      <c r="C197" s="32">
        <v>20</v>
      </c>
      <c r="D197" s="32">
        <v>147</v>
      </c>
      <c r="E197" s="32">
        <v>187</v>
      </c>
      <c r="F197" s="32" t="s">
        <v>7</v>
      </c>
      <c r="G197" s="32">
        <v>87</v>
      </c>
    </row>
    <row r="198" spans="1:7" x14ac:dyDescent="0.3">
      <c r="A198" s="32">
        <v>197</v>
      </c>
      <c r="B198" s="32">
        <v>38</v>
      </c>
      <c r="C198" s="32">
        <v>21</v>
      </c>
      <c r="D198" s="32">
        <v>148</v>
      </c>
      <c r="E198" s="32">
        <v>188</v>
      </c>
      <c r="F198" s="32" t="s">
        <v>8</v>
      </c>
      <c r="G198" s="32">
        <v>88</v>
      </c>
    </row>
    <row r="199" spans="1:7" x14ac:dyDescent="0.3">
      <c r="A199" s="32">
        <v>198</v>
      </c>
      <c r="B199" s="32">
        <v>39</v>
      </c>
      <c r="C199" s="32">
        <v>22</v>
      </c>
      <c r="D199" s="32">
        <v>149</v>
      </c>
      <c r="E199" s="32">
        <v>189</v>
      </c>
      <c r="F199" s="32" t="s">
        <v>9</v>
      </c>
      <c r="G199" s="32">
        <v>89</v>
      </c>
    </row>
    <row r="200" spans="1:7" x14ac:dyDescent="0.3">
      <c r="A200" s="32">
        <v>199</v>
      </c>
      <c r="B200" s="32">
        <v>40</v>
      </c>
      <c r="C200" s="32">
        <v>23</v>
      </c>
      <c r="D200" s="32">
        <v>100</v>
      </c>
      <c r="E200" s="32">
        <v>190</v>
      </c>
      <c r="F200" s="32" t="s">
        <v>7</v>
      </c>
      <c r="G200" s="32">
        <v>50</v>
      </c>
    </row>
    <row r="201" spans="1:7" x14ac:dyDescent="0.3">
      <c r="A201" s="32">
        <v>200</v>
      </c>
      <c r="B201" s="32">
        <v>41</v>
      </c>
      <c r="C201" s="32">
        <v>24</v>
      </c>
      <c r="D201" s="32">
        <v>101</v>
      </c>
      <c r="E201" s="32">
        <v>191</v>
      </c>
      <c r="F201" s="32" t="s">
        <v>8</v>
      </c>
      <c r="G201" s="32">
        <v>51</v>
      </c>
    </row>
  </sheetData>
  <sortState xmlns:xlrd2="http://schemas.microsoft.com/office/spreadsheetml/2017/richdata2" ref="AQ30:AQ48">
    <sortCondition ref="AQ30"/>
  </sortState>
  <mergeCells count="18">
    <mergeCell ref="N79:T79"/>
    <mergeCell ref="N15:R16"/>
    <mergeCell ref="AK8:AL8"/>
    <mergeCell ref="AK15:AP15"/>
    <mergeCell ref="AK27:AN28"/>
    <mergeCell ref="AP27:AQ28"/>
    <mergeCell ref="U23:Y24"/>
    <mergeCell ref="U52:AA52"/>
    <mergeCell ref="AC34:AI34"/>
    <mergeCell ref="U15:AA15"/>
    <mergeCell ref="U7:Y8"/>
    <mergeCell ref="U9:Y9"/>
    <mergeCell ref="J32:L33"/>
    <mergeCell ref="J47:L48"/>
    <mergeCell ref="AM6:AU7"/>
    <mergeCell ref="J13:K14"/>
    <mergeCell ref="AC6:AG7"/>
    <mergeCell ref="O7:S7"/>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Sheet5</vt:lpstr>
      <vt:lpstr>Sheet3</vt:lpstr>
      <vt:lpstr>Sheet4</vt:lpstr>
      <vt:lpstr>Sheet6</vt:lpstr>
      <vt:lpstr>Sheet7</vt:lpstr>
      <vt:lpstr>Healthcare_Data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THARUN KUMAR K</cp:lastModifiedBy>
  <dcterms:created xsi:type="dcterms:W3CDTF">2026-06-05T06:39:53Z</dcterms:created>
  <dcterms:modified xsi:type="dcterms:W3CDTF">2026-06-07T15:25:01Z</dcterms:modified>
</cp:coreProperties>
</file>